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queryTables/queryTable2.xml" ContentType="application/vnd.openxmlformats-officedocument.spreadsheetml.query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queryTables/queryTable3.xml" ContentType="application/vnd.openxmlformats-officedocument.spreadsheetml.query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queryTables/queryTable4.xml" ContentType="application/vnd.openxmlformats-officedocument.spreadsheetml.query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queryTables/queryTable5.xml" ContentType="application/vnd.openxmlformats-officedocument.spreadsheetml.query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9c79fded52d80bc/Documents/Willem/Year IV/Bioinformatics/Project/hons-project/misc/"/>
    </mc:Choice>
  </mc:AlternateContent>
  <xr:revisionPtr revIDLastSave="1010" documentId="8_{C28554D5-693C-4A7A-B838-EB1AE6FA4A2C}" xr6:coauthVersionLast="47" xr6:coauthVersionMax="47" xr10:uidLastSave="{B05F5B10-40B9-42B9-8938-1AC62C48E6D1}"/>
  <bookViews>
    <workbookView xWindow="28680" yWindow="-120" windowWidth="29040" windowHeight="16440" activeTab="7" xr2:uid="{18024A3A-B2AD-4B3C-8DFE-6D82B8BF29BF}"/>
  </bookViews>
  <sheets>
    <sheet name="JCVI" sheetId="7" r:id="rId1"/>
    <sheet name="Aureus" sheetId="1" r:id="rId2"/>
    <sheet name="Pneumoniae" sheetId="4" r:id="rId3"/>
    <sheet name="Genitalium" sheetId="2" r:id="rId4"/>
    <sheet name="Minesweeper" sheetId="3" r:id="rId5"/>
    <sheet name="EC Compare" sheetId="5" r:id="rId6"/>
    <sheet name="Module Comparison" sheetId="6" r:id="rId7"/>
    <sheet name="Rxn Comparison" sheetId="10" r:id="rId8"/>
  </sheets>
  <definedNames>
    <definedName name="_xlnm._FilterDatabase" localSheetId="6" hidden="1">'Module Comparison'!$M$2:$N$46</definedName>
    <definedName name="_xlnm._FilterDatabase" localSheetId="7" hidden="1">'Rxn Comparison'!$K$2:$M$2</definedName>
    <definedName name="_xlcn.WorksheetConnection_ec_compare.xlsxTable61" hidden="1">JCVI_ec[]</definedName>
    <definedName name="_xlcn.WorksheetConnection_ec_compare.xlsxTable81" hidden="1">Pneumoniae_ec[]</definedName>
    <definedName name="ExternalData_1" localSheetId="1" hidden="1">Aureus!$E$1:$G$294</definedName>
    <definedName name="ExternalData_1" localSheetId="3" hidden="1">Genitalium!$E$1:$G$205</definedName>
    <definedName name="ExternalData_1" localSheetId="0" hidden="1">JCVI!$E$1:$G$169</definedName>
    <definedName name="ExternalData_1" localSheetId="4" hidden="1">Minesweeper!$E$1:$G$149</definedName>
    <definedName name="ExternalData_1" localSheetId="2" hidden="1">Pneumoniae!$E$1:$G$159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6" name="Table6" connection="WorksheetConnection_ec_compare.xlsx!Table6"/>
          <x15:modelTable id="Table8" name="Table8" connection="WorksheetConnection_ec_compare.xlsx!Table8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" i="3" l="1"/>
  <c r="J3" i="3"/>
  <c r="J4" i="3"/>
  <c r="J5" i="3"/>
  <c r="J6" i="3"/>
  <c r="J2" i="3"/>
  <c r="J8" i="2"/>
  <c r="J3" i="2"/>
  <c r="J4" i="2"/>
  <c r="J5" i="2"/>
  <c r="J9" i="2" s="1"/>
  <c r="J6" i="2"/>
  <c r="J2" i="2"/>
  <c r="J8" i="4"/>
  <c r="J3" i="4"/>
  <c r="J4" i="4"/>
  <c r="J5" i="4"/>
  <c r="J6" i="4"/>
  <c r="J2" i="4"/>
  <c r="J3" i="1"/>
  <c r="J2" i="1"/>
  <c r="J4" i="1"/>
  <c r="J5" i="1"/>
  <c r="J6" i="1"/>
  <c r="J7" i="1"/>
  <c r="J8" i="1"/>
  <c r="J9" i="1"/>
  <c r="J8" i="7"/>
  <c r="J9" i="7" s="1"/>
  <c r="J3" i="7"/>
  <c r="J4" i="7"/>
  <c r="J5" i="7"/>
  <c r="J6" i="7"/>
  <c r="J7" i="7"/>
  <c r="J2" i="7"/>
  <c r="E16" i="6"/>
  <c r="E11" i="6"/>
  <c r="E7" i="6"/>
  <c r="E18" i="6"/>
  <c r="E20" i="6"/>
  <c r="E17" i="6"/>
  <c r="E8" i="6"/>
  <c r="E10" i="6"/>
  <c r="E21" i="6"/>
  <c r="E13" i="6"/>
  <c r="E5" i="6"/>
  <c r="E4" i="6"/>
  <c r="E12" i="6"/>
  <c r="E6" i="6"/>
  <c r="E2" i="6"/>
  <c r="E9" i="6"/>
  <c r="E14" i="6"/>
  <c r="E19" i="6"/>
  <c r="E3" i="6"/>
  <c r="E15" i="6"/>
  <c r="N1" i="10"/>
  <c r="K3" i="10" s="1" a="1"/>
  <c r="K3" i="10" s="1"/>
  <c r="B91" i="6" a="1"/>
  <c r="B91" i="6" s="1"/>
  <c r="Q65" i="6"/>
  <c r="Q19" i="6"/>
  <c r="Q71" i="6"/>
  <c r="Q68" i="6"/>
  <c r="Q32" i="6"/>
  <c r="Q46" i="6"/>
  <c r="Q34" i="6"/>
  <c r="Q8" i="6"/>
  <c r="Q45" i="6"/>
  <c r="Q44" i="6"/>
  <c r="Q55" i="6"/>
  <c r="Q67" i="6"/>
  <c r="Q66" i="6"/>
  <c r="Q47" i="6"/>
  <c r="Q59" i="6"/>
  <c r="Q18" i="6"/>
  <c r="Q35" i="6"/>
  <c r="Q41" i="6"/>
  <c r="Q15" i="6"/>
  <c r="Q10" i="6"/>
  <c r="Q48" i="6"/>
  <c r="Q6" i="6"/>
  <c r="Q31" i="6"/>
  <c r="Q24" i="6"/>
  <c r="Q36" i="6"/>
  <c r="Q9" i="6"/>
  <c r="Q30" i="6"/>
  <c r="Q62" i="6"/>
  <c r="Q5" i="6"/>
  <c r="Q38" i="6"/>
  <c r="Q13" i="6"/>
  <c r="Q21" i="6"/>
  <c r="Q33" i="6"/>
  <c r="Q60" i="6"/>
  <c r="Q42" i="6"/>
  <c r="Q49" i="6"/>
  <c r="Q25" i="6"/>
  <c r="Q28" i="6"/>
  <c r="Q29" i="6"/>
  <c r="Q54" i="6"/>
  <c r="Q39" i="6"/>
  <c r="Q70" i="6"/>
  <c r="Q61" i="6"/>
  <c r="Q12" i="6"/>
  <c r="Q22" i="6"/>
  <c r="Q3" i="6"/>
  <c r="Q53" i="6"/>
  <c r="Q7" i="6"/>
  <c r="Q43" i="6"/>
  <c r="Q51" i="6"/>
  <c r="Q27" i="6"/>
  <c r="Q69" i="6"/>
  <c r="Q57" i="6"/>
  <c r="Q11" i="6"/>
  <c r="Q20" i="6"/>
  <c r="Q16" i="6"/>
  <c r="Q26" i="6"/>
  <c r="Q37" i="6"/>
  <c r="Q50" i="6"/>
  <c r="Q58" i="6"/>
  <c r="Q64" i="6"/>
  <c r="Q17" i="6"/>
  <c r="Q63" i="6"/>
  <c r="Q56" i="6"/>
  <c r="Q23" i="6"/>
  <c r="Q2" i="6"/>
  <c r="Q4" i="6"/>
  <c r="Q52" i="6"/>
  <c r="Q40" i="6"/>
  <c r="Q14" i="6"/>
  <c r="Q72" i="6"/>
  <c r="N40" i="6"/>
  <c r="N19" i="6"/>
  <c r="N23" i="6"/>
  <c r="N15" i="6"/>
  <c r="N9" i="6"/>
  <c r="N30" i="6"/>
  <c r="N18" i="6"/>
  <c r="N8" i="6"/>
  <c r="N29" i="6"/>
  <c r="N25" i="6"/>
  <c r="N22" i="6"/>
  <c r="N36" i="6"/>
  <c r="N26" i="6"/>
  <c r="N42" i="6"/>
  <c r="N44" i="6"/>
  <c r="N28" i="6"/>
  <c r="N37" i="6"/>
  <c r="N7" i="6"/>
  <c r="N46" i="6"/>
  <c r="N34" i="6"/>
  <c r="N16" i="6"/>
  <c r="N2" i="6"/>
  <c r="N43" i="6"/>
  <c r="N12" i="6"/>
  <c r="N3" i="6"/>
  <c r="N14" i="6"/>
  <c r="N33" i="6"/>
  <c r="N31" i="6"/>
  <c r="N24" i="6"/>
  <c r="N21" i="6"/>
  <c r="N35" i="6"/>
  <c r="N45" i="6"/>
  <c r="N27" i="6"/>
  <c r="N38" i="6"/>
  <c r="N11" i="6"/>
  <c r="N32" i="6"/>
  <c r="N4" i="6"/>
  <c r="N39" i="6"/>
  <c r="N6" i="6"/>
  <c r="N10" i="6"/>
  <c r="N20" i="6"/>
  <c r="N5" i="6"/>
  <c r="N13" i="6"/>
  <c r="N41" i="6"/>
  <c r="N17" i="6"/>
  <c r="B6" i="6"/>
  <c r="B7" i="6"/>
  <c r="B3" i="6"/>
  <c r="B4" i="6"/>
  <c r="B8" i="6"/>
  <c r="B13" i="6"/>
  <c r="B2" i="6"/>
  <c r="B11" i="6"/>
  <c r="B5" i="6"/>
  <c r="B14" i="6"/>
  <c r="B9" i="6"/>
  <c r="B10" i="6"/>
  <c r="B12" i="6"/>
  <c r="AF15" i="6"/>
  <c r="AF6" i="6"/>
  <c r="AF26" i="6"/>
  <c r="AF9" i="6"/>
  <c r="AF7" i="6"/>
  <c r="AF13" i="6"/>
  <c r="AF14" i="6"/>
  <c r="AF35" i="6"/>
  <c r="AF2" i="6"/>
  <c r="AF25" i="6"/>
  <c r="AF5" i="6"/>
  <c r="AF30" i="6"/>
  <c r="AF23" i="6"/>
  <c r="AF27" i="6"/>
  <c r="AF20" i="6"/>
  <c r="AF31" i="6"/>
  <c r="AF12" i="6"/>
  <c r="AF8" i="6"/>
  <c r="AF32" i="6"/>
  <c r="AF21" i="6"/>
  <c r="AF22" i="6"/>
  <c r="AF18" i="6"/>
  <c r="AF34" i="6"/>
  <c r="AF29" i="6"/>
  <c r="AF17" i="6"/>
  <c r="AF28" i="6"/>
  <c r="AF33" i="6"/>
  <c r="AF10" i="6"/>
  <c r="AF4" i="6"/>
  <c r="AF24" i="6"/>
  <c r="AF3" i="6"/>
  <c r="AF16" i="6"/>
  <c r="AF19" i="6"/>
  <c r="AF11" i="6"/>
  <c r="AC3" i="6"/>
  <c r="AC4" i="6"/>
  <c r="AC2" i="6"/>
  <c r="Z3" i="6"/>
  <c r="Z4" i="6"/>
  <c r="Z5" i="6"/>
  <c r="Z2" i="6"/>
  <c r="W3" i="6"/>
  <c r="W4" i="6"/>
  <c r="W5" i="6"/>
  <c r="W2" i="6"/>
  <c r="T63" i="6"/>
  <c r="T2" i="6"/>
  <c r="T21" i="6"/>
  <c r="T22" i="6"/>
  <c r="T15" i="6"/>
  <c r="T36" i="6"/>
  <c r="T23" i="6"/>
  <c r="T37" i="6"/>
  <c r="T24" i="6"/>
  <c r="T55" i="6"/>
  <c r="T64" i="6"/>
  <c r="T65" i="6"/>
  <c r="T25" i="6"/>
  <c r="T56" i="6"/>
  <c r="T57" i="6"/>
  <c r="T38" i="6"/>
  <c r="T39" i="6"/>
  <c r="T40" i="6"/>
  <c r="T58" i="6"/>
  <c r="T66" i="6"/>
  <c r="T42" i="6"/>
  <c r="T3" i="6"/>
  <c r="T16" i="6"/>
  <c r="T43" i="6"/>
  <c r="T26" i="6"/>
  <c r="T27" i="6"/>
  <c r="T44" i="6"/>
  <c r="T4" i="6"/>
  <c r="T31" i="6"/>
  <c r="T67" i="6"/>
  <c r="T17" i="6"/>
  <c r="T68" i="6"/>
  <c r="T45" i="6"/>
  <c r="T69" i="6"/>
  <c r="T70" i="6"/>
  <c r="T28" i="6"/>
  <c r="T46" i="6"/>
  <c r="T41" i="6"/>
  <c r="T18" i="6"/>
  <c r="T59" i="6"/>
  <c r="T71" i="6"/>
  <c r="T5" i="6"/>
  <c r="T32" i="6"/>
  <c r="T60" i="6"/>
  <c r="T72" i="6"/>
  <c r="T19" i="6"/>
  <c r="T47" i="6"/>
  <c r="T61" i="6"/>
  <c r="T48" i="6"/>
  <c r="T49" i="6"/>
  <c r="T6" i="6"/>
  <c r="T50" i="6"/>
  <c r="T51" i="6"/>
  <c r="T7" i="6"/>
  <c r="T8" i="6"/>
  <c r="T52" i="6"/>
  <c r="T9" i="6"/>
  <c r="T29" i="6"/>
  <c r="T20" i="6"/>
  <c r="T33" i="6"/>
  <c r="T10" i="6"/>
  <c r="T30" i="6"/>
  <c r="T11" i="6"/>
  <c r="T12" i="6"/>
  <c r="T53" i="6"/>
  <c r="T13" i="6"/>
  <c r="T62" i="6"/>
  <c r="T14" i="6"/>
  <c r="T54" i="6"/>
  <c r="T73" i="6"/>
  <c r="T74" i="6"/>
  <c r="T75" i="6"/>
  <c r="T34" i="6"/>
  <c r="T35" i="6"/>
  <c r="K40" i="6"/>
  <c r="K34" i="6"/>
  <c r="K31" i="6"/>
  <c r="K41" i="6"/>
  <c r="K32" i="6"/>
  <c r="K49" i="6"/>
  <c r="K50" i="6"/>
  <c r="K51" i="6"/>
  <c r="K52" i="6"/>
  <c r="K53" i="6"/>
  <c r="K2" i="6"/>
  <c r="K35" i="6"/>
  <c r="K33" i="6"/>
  <c r="K21" i="6"/>
  <c r="K42" i="6"/>
  <c r="K54" i="6"/>
  <c r="K55" i="6"/>
  <c r="K56" i="6"/>
  <c r="K57" i="6"/>
  <c r="K36" i="6"/>
  <c r="K43" i="6"/>
  <c r="K44" i="6"/>
  <c r="K22" i="6"/>
  <c r="K45" i="6"/>
  <c r="K37" i="6"/>
  <c r="K46" i="6"/>
  <c r="K27" i="6"/>
  <c r="K23" i="6"/>
  <c r="K28" i="6"/>
  <c r="K24" i="6"/>
  <c r="K25" i="6"/>
  <c r="K26" i="6"/>
  <c r="K29" i="6"/>
  <c r="K3" i="6"/>
  <c r="K4" i="6"/>
  <c r="K5" i="6"/>
  <c r="K6" i="6"/>
  <c r="K7" i="6"/>
  <c r="K8" i="6"/>
  <c r="K9" i="6"/>
  <c r="K38" i="6"/>
  <c r="K10" i="6"/>
  <c r="K11" i="6"/>
  <c r="K12" i="6"/>
  <c r="K13" i="6"/>
  <c r="K14" i="6"/>
  <c r="K15" i="6"/>
  <c r="K16" i="6"/>
  <c r="K17" i="6"/>
  <c r="K18" i="6"/>
  <c r="K19" i="6"/>
  <c r="K20" i="6"/>
  <c r="K47" i="6"/>
  <c r="K48" i="6"/>
  <c r="K30" i="6"/>
  <c r="K39" i="6"/>
  <c r="H28" i="6"/>
  <c r="H34" i="6"/>
  <c r="H3" i="6"/>
  <c r="H21" i="6"/>
  <c r="H35" i="6"/>
  <c r="H36" i="6"/>
  <c r="H30" i="6"/>
  <c r="H31" i="6"/>
  <c r="H32" i="6"/>
  <c r="H24" i="6"/>
  <c r="H25" i="6"/>
  <c r="H22" i="6"/>
  <c r="H23" i="6"/>
  <c r="H26" i="6"/>
  <c r="H4" i="6"/>
  <c r="H5" i="6"/>
  <c r="H6" i="6"/>
  <c r="H7" i="6"/>
  <c r="H8" i="6"/>
  <c r="H9" i="6"/>
  <c r="H10" i="6"/>
  <c r="H29" i="6"/>
  <c r="H11" i="6"/>
  <c r="H12" i="6"/>
  <c r="H13" i="6"/>
  <c r="H14" i="6"/>
  <c r="H15" i="6"/>
  <c r="H16" i="6"/>
  <c r="H17" i="6"/>
  <c r="H18" i="6"/>
  <c r="H19" i="6"/>
  <c r="H20" i="6"/>
  <c r="H33" i="6"/>
  <c r="H27" i="6"/>
  <c r="H2" i="6"/>
  <c r="J2" i="5"/>
  <c r="J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4" i="5"/>
  <c r="J85" i="5"/>
  <c r="J86" i="5"/>
  <c r="J87" i="5"/>
  <c r="J88" i="5"/>
  <c r="J89" i="5"/>
  <c r="J90" i="5"/>
  <c r="J91" i="5"/>
  <c r="J92" i="5"/>
  <c r="J93" i="5"/>
  <c r="J94" i="5"/>
  <c r="J95" i="5"/>
  <c r="J96" i="5"/>
  <c r="J97" i="5"/>
  <c r="J98" i="5"/>
  <c r="J99" i="5"/>
  <c r="J100" i="5"/>
  <c r="J101" i="5"/>
  <c r="J102" i="5"/>
  <c r="J103" i="5"/>
  <c r="J104" i="5"/>
  <c r="J105" i="5"/>
  <c r="J106" i="5"/>
  <c r="J107" i="5"/>
  <c r="J108" i="5"/>
  <c r="J109" i="5"/>
  <c r="J110" i="5"/>
  <c r="J111" i="5"/>
  <c r="J112" i="5"/>
  <c r="J113" i="5"/>
  <c r="J114" i="5"/>
  <c r="J115" i="5"/>
  <c r="J116" i="5"/>
  <c r="J117" i="5"/>
  <c r="J118" i="5"/>
  <c r="J119" i="5"/>
  <c r="J120" i="5"/>
  <c r="J121" i="5"/>
  <c r="J122" i="5"/>
  <c r="J123" i="5"/>
  <c r="J124" i="5"/>
  <c r="J125" i="5"/>
  <c r="J126" i="5"/>
  <c r="J127" i="5"/>
  <c r="J128" i="5"/>
  <c r="J129" i="5"/>
  <c r="J130" i="5"/>
  <c r="J131" i="5"/>
  <c r="J132" i="5"/>
  <c r="J133" i="5"/>
  <c r="J134" i="5"/>
  <c r="J135" i="5"/>
  <c r="J136" i="5"/>
  <c r="J137" i="5"/>
  <c r="J138" i="5"/>
  <c r="J139" i="5"/>
  <c r="J140" i="5"/>
  <c r="J141" i="5"/>
  <c r="J142" i="5"/>
  <c r="J143" i="5"/>
  <c r="J144" i="5"/>
  <c r="J145" i="5"/>
  <c r="J146" i="5"/>
  <c r="J147" i="5"/>
  <c r="J148" i="5"/>
  <c r="J149" i="5"/>
  <c r="J150" i="5"/>
  <c r="J151" i="5"/>
  <c r="J152" i="5"/>
  <c r="J153" i="5"/>
  <c r="J154" i="5"/>
  <c r="J155" i="5"/>
  <c r="J156" i="5"/>
  <c r="J157" i="5"/>
  <c r="J158" i="5"/>
  <c r="J159" i="5"/>
  <c r="J160" i="5"/>
  <c r="J161" i="5"/>
  <c r="J162" i="5"/>
  <c r="J163" i="5"/>
  <c r="J164" i="5"/>
  <c r="J165" i="5"/>
  <c r="J166" i="5"/>
  <c r="J167" i="5"/>
  <c r="J168" i="5"/>
  <c r="J169" i="5"/>
  <c r="J170" i="5"/>
  <c r="J171" i="5"/>
  <c r="J172" i="5"/>
  <c r="J173" i="5"/>
  <c r="J174" i="5"/>
  <c r="J175" i="5"/>
  <c r="J176" i="5"/>
  <c r="J177" i="5"/>
  <c r="J178" i="5"/>
  <c r="I2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I98" i="5"/>
  <c r="I99" i="5"/>
  <c r="I100" i="5"/>
  <c r="I101" i="5"/>
  <c r="I102" i="5"/>
  <c r="I103" i="5"/>
  <c r="I104" i="5"/>
  <c r="I105" i="5"/>
  <c r="I106" i="5"/>
  <c r="I107" i="5"/>
  <c r="I108" i="5"/>
  <c r="I109" i="5"/>
  <c r="I110" i="5"/>
  <c r="I111" i="5"/>
  <c r="I112" i="5"/>
  <c r="I113" i="5"/>
  <c r="I114" i="5"/>
  <c r="I115" i="5"/>
  <c r="I116" i="5"/>
  <c r="I117" i="5"/>
  <c r="I118" i="5"/>
  <c r="I119" i="5"/>
  <c r="I120" i="5"/>
  <c r="I121" i="5"/>
  <c r="I122" i="5"/>
  <c r="I123" i="5"/>
  <c r="I124" i="5"/>
  <c r="I125" i="5"/>
  <c r="I126" i="5"/>
  <c r="I127" i="5"/>
  <c r="I128" i="5"/>
  <c r="I129" i="5"/>
  <c r="I130" i="5"/>
  <c r="I131" i="5"/>
  <c r="I132" i="5"/>
  <c r="I133" i="5"/>
  <c r="I134" i="5"/>
  <c r="I135" i="5"/>
  <c r="I136" i="5"/>
  <c r="I137" i="5"/>
  <c r="I138" i="5"/>
  <c r="I139" i="5"/>
  <c r="I140" i="5"/>
  <c r="I141" i="5"/>
  <c r="I142" i="5"/>
  <c r="I143" i="5"/>
  <c r="I144" i="5"/>
  <c r="I145" i="5"/>
  <c r="I146" i="5"/>
  <c r="I147" i="5"/>
  <c r="I148" i="5"/>
  <c r="I149" i="5"/>
  <c r="I150" i="5"/>
  <c r="I151" i="5"/>
  <c r="I152" i="5"/>
  <c r="I153" i="5"/>
  <c r="I154" i="5"/>
  <c r="I155" i="5"/>
  <c r="I156" i="5"/>
  <c r="I157" i="5"/>
  <c r="I158" i="5"/>
  <c r="I159" i="5"/>
  <c r="I160" i="5"/>
  <c r="I161" i="5"/>
  <c r="I162" i="5"/>
  <c r="I163" i="5"/>
  <c r="I164" i="5"/>
  <c r="I165" i="5"/>
  <c r="I166" i="5"/>
  <c r="I167" i="5"/>
  <c r="I168" i="5"/>
  <c r="I169" i="5"/>
  <c r="I170" i="5"/>
  <c r="I171" i="5"/>
  <c r="I172" i="5"/>
  <c r="I173" i="5"/>
  <c r="I174" i="5"/>
  <c r="I175" i="5"/>
  <c r="I176" i="5"/>
  <c r="I177" i="5"/>
  <c r="I178" i="5"/>
  <c r="H2" i="5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G2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G155" i="5"/>
  <c r="G156" i="5"/>
  <c r="G157" i="5"/>
  <c r="G158" i="5"/>
  <c r="G159" i="5"/>
  <c r="G160" i="5"/>
  <c r="G161" i="5"/>
  <c r="G162" i="5"/>
  <c r="G163" i="5"/>
  <c r="G164" i="5"/>
  <c r="G165" i="5"/>
  <c r="G166" i="5"/>
  <c r="G167" i="5"/>
  <c r="G168" i="5"/>
  <c r="G169" i="5"/>
  <c r="G170" i="5"/>
  <c r="G171" i="5"/>
  <c r="G172" i="5"/>
  <c r="G173" i="5"/>
  <c r="G174" i="5"/>
  <c r="G175" i="5"/>
  <c r="G176" i="5"/>
  <c r="G177" i="5"/>
  <c r="G178" i="5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F155" i="5"/>
  <c r="F156" i="5"/>
  <c r="F157" i="5"/>
  <c r="F158" i="5"/>
  <c r="F159" i="5"/>
  <c r="F160" i="5"/>
  <c r="F161" i="5"/>
  <c r="F162" i="5"/>
  <c r="F163" i="5"/>
  <c r="F164" i="5"/>
  <c r="F165" i="5"/>
  <c r="F166" i="5"/>
  <c r="F167" i="5"/>
  <c r="F168" i="5"/>
  <c r="F169" i="5"/>
  <c r="F170" i="5"/>
  <c r="F171" i="5"/>
  <c r="F172" i="5"/>
  <c r="F173" i="5"/>
  <c r="F174" i="5"/>
  <c r="F175" i="5"/>
  <c r="F176" i="5"/>
  <c r="F177" i="5"/>
  <c r="F178" i="5"/>
  <c r="F2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4" i="5"/>
  <c r="E155" i="5"/>
  <c r="E156" i="5"/>
  <c r="E157" i="5"/>
  <c r="E158" i="5"/>
  <c r="E159" i="5"/>
  <c r="E160" i="5"/>
  <c r="E161" i="5"/>
  <c r="E162" i="5"/>
  <c r="E163" i="5"/>
  <c r="E164" i="5"/>
  <c r="E165" i="5"/>
  <c r="E166" i="5"/>
  <c r="E167" i="5"/>
  <c r="E168" i="5"/>
  <c r="E169" i="5"/>
  <c r="E170" i="5"/>
  <c r="E171" i="5"/>
  <c r="E172" i="5"/>
  <c r="E173" i="5"/>
  <c r="E174" i="5"/>
  <c r="E175" i="5"/>
  <c r="E176" i="5"/>
  <c r="E177" i="5"/>
  <c r="E178" i="5"/>
  <c r="E2" i="5"/>
  <c r="J9" i="3" l="1"/>
  <c r="K4" i="3"/>
  <c r="K6" i="3"/>
  <c r="K9" i="2"/>
  <c r="K4" i="2"/>
  <c r="K5" i="2"/>
  <c r="J9" i="4"/>
  <c r="K5" i="4" s="1"/>
  <c r="J10" i="1"/>
  <c r="K8" i="1" s="1"/>
  <c r="K9" i="3"/>
  <c r="K8" i="3"/>
  <c r="K7" i="3"/>
  <c r="K3" i="3"/>
  <c r="K5" i="3"/>
  <c r="K2" i="3"/>
  <c r="K3" i="2"/>
  <c r="K7" i="2"/>
  <c r="K6" i="2"/>
  <c r="K8" i="2"/>
  <c r="K2" i="2"/>
  <c r="K2" i="4"/>
  <c r="K8" i="7"/>
  <c r="K3" i="7"/>
  <c r="K4" i="7"/>
  <c r="K5" i="7"/>
  <c r="K6" i="7"/>
  <c r="K7" i="7"/>
  <c r="K9" i="7"/>
  <c r="K2" i="7"/>
  <c r="L22" i="10"/>
  <c r="M11" i="10"/>
  <c r="L159" i="10"/>
  <c r="L158" i="10"/>
  <c r="L126" i="10"/>
  <c r="L115" i="10"/>
  <c r="L114" i="10"/>
  <c r="L113" i="10"/>
  <c r="L62" i="10"/>
  <c r="L61" i="10"/>
  <c r="L52" i="10"/>
  <c r="L8" i="10"/>
  <c r="M146" i="10"/>
  <c r="M143" i="10"/>
  <c r="M142" i="10"/>
  <c r="M128" i="10"/>
  <c r="L34" i="10"/>
  <c r="M126" i="10"/>
  <c r="M125" i="10"/>
  <c r="L160" i="10"/>
  <c r="M124" i="10"/>
  <c r="L112" i="10"/>
  <c r="M123" i="10"/>
  <c r="L98" i="10"/>
  <c r="M93" i="10"/>
  <c r="L4" i="10"/>
  <c r="L81" i="10"/>
  <c r="M91" i="10"/>
  <c r="L80" i="10"/>
  <c r="M82" i="10"/>
  <c r="L66" i="10"/>
  <c r="M80" i="10"/>
  <c r="L63" i="10"/>
  <c r="M64" i="10"/>
  <c r="M81" i="10"/>
  <c r="L128" i="10"/>
  <c r="L51" i="10"/>
  <c r="M79" i="10"/>
  <c r="L127" i="10"/>
  <c r="L50" i="10"/>
  <c r="M78" i="10"/>
  <c r="L125" i="10"/>
  <c r="M145" i="10"/>
  <c r="M62" i="10"/>
  <c r="L49" i="10"/>
  <c r="M61" i="10"/>
  <c r="L7" i="10"/>
  <c r="L148" i="10"/>
  <c r="L95" i="10"/>
  <c r="L48" i="10"/>
  <c r="M113" i="10"/>
  <c r="M60" i="10"/>
  <c r="M114" i="10"/>
  <c r="L31" i="10"/>
  <c r="L147" i="10"/>
  <c r="L94" i="10"/>
  <c r="M160" i="10"/>
  <c r="M112" i="10"/>
  <c r="M59" i="10"/>
  <c r="L157" i="10"/>
  <c r="M8" i="10"/>
  <c r="L146" i="10"/>
  <c r="L93" i="10"/>
  <c r="M158" i="10"/>
  <c r="M111" i="10"/>
  <c r="M50" i="10"/>
  <c r="L96" i="10"/>
  <c r="M4" i="10"/>
  <c r="L145" i="10"/>
  <c r="L84" i="10"/>
  <c r="M157" i="10"/>
  <c r="M110" i="10"/>
  <c r="M49" i="10"/>
  <c r="M7" i="10"/>
  <c r="L144" i="10"/>
  <c r="L83" i="10"/>
  <c r="M156" i="10"/>
  <c r="M96" i="10"/>
  <c r="M48" i="10"/>
  <c r="M31" i="10"/>
  <c r="L130" i="10"/>
  <c r="L82" i="10"/>
  <c r="M155" i="10"/>
  <c r="M94" i="10"/>
  <c r="M47" i="10"/>
  <c r="L33" i="10"/>
  <c r="L116" i="10"/>
  <c r="L64" i="10"/>
  <c r="M144" i="10"/>
  <c r="M92" i="10"/>
  <c r="M46" i="10"/>
  <c r="L20" i="10"/>
  <c r="L32" i="10"/>
  <c r="L143" i="10"/>
  <c r="L111" i="10"/>
  <c r="L79" i="10"/>
  <c r="L47" i="10"/>
  <c r="M141" i="10"/>
  <c r="M109" i="10"/>
  <c r="M77" i="10"/>
  <c r="M45" i="10"/>
  <c r="L6" i="10"/>
  <c r="L30" i="10"/>
  <c r="L142" i="10"/>
  <c r="L110" i="10"/>
  <c r="L78" i="10"/>
  <c r="L46" i="10"/>
  <c r="M140" i="10"/>
  <c r="M108" i="10"/>
  <c r="M76" i="10"/>
  <c r="M44" i="10"/>
  <c r="L11" i="10"/>
  <c r="L29" i="10"/>
  <c r="L141" i="10"/>
  <c r="L109" i="10"/>
  <c r="L77" i="10"/>
  <c r="L45" i="10"/>
  <c r="M139" i="10"/>
  <c r="M107" i="10"/>
  <c r="M75" i="10"/>
  <c r="M43" i="10"/>
  <c r="L27" i="10"/>
  <c r="L13" i="10"/>
  <c r="L132" i="10"/>
  <c r="L100" i="10"/>
  <c r="L68" i="10"/>
  <c r="L36" i="10"/>
  <c r="M130" i="10"/>
  <c r="M98" i="10"/>
  <c r="M66" i="10"/>
  <c r="L14" i="10"/>
  <c r="L12" i="10"/>
  <c r="L131" i="10"/>
  <c r="L99" i="10"/>
  <c r="L67" i="10"/>
  <c r="L35" i="10"/>
  <c r="M129" i="10"/>
  <c r="M97" i="10"/>
  <c r="M65" i="10"/>
  <c r="M22" i="10"/>
  <c r="L10" i="10"/>
  <c r="L129" i="10"/>
  <c r="L97" i="10"/>
  <c r="L65" i="10"/>
  <c r="M159" i="10"/>
  <c r="M127" i="10"/>
  <c r="M95" i="10"/>
  <c r="M63" i="10"/>
  <c r="L140" i="10"/>
  <c r="L108" i="10"/>
  <c r="L76" i="10"/>
  <c r="L44" i="10"/>
  <c r="M138" i="10"/>
  <c r="M106" i="10"/>
  <c r="M90" i="10"/>
  <c r="M74" i="10"/>
  <c r="M42" i="10"/>
  <c r="M20" i="10"/>
  <c r="L28" i="10"/>
  <c r="L155" i="10"/>
  <c r="L139" i="10"/>
  <c r="L123" i="10"/>
  <c r="L107" i="10"/>
  <c r="L91" i="10"/>
  <c r="L75" i="10"/>
  <c r="L59" i="10"/>
  <c r="L43" i="10"/>
  <c r="M153" i="10"/>
  <c r="M121" i="10"/>
  <c r="M105" i="10"/>
  <c r="M89" i="10"/>
  <c r="M73" i="10"/>
  <c r="M57" i="10"/>
  <c r="M41" i="10"/>
  <c r="L124" i="10"/>
  <c r="L92" i="10"/>
  <c r="L60" i="10"/>
  <c r="M154" i="10"/>
  <c r="M122" i="10"/>
  <c r="M58" i="10"/>
  <c r="L21" i="10"/>
  <c r="M137" i="10"/>
  <c r="L24" i="10"/>
  <c r="M21" i="10"/>
  <c r="L26" i="10"/>
  <c r="L154" i="10"/>
  <c r="L138" i="10"/>
  <c r="L122" i="10"/>
  <c r="L106" i="10"/>
  <c r="L90" i="10"/>
  <c r="L74" i="10"/>
  <c r="L58" i="10"/>
  <c r="L42" i="10"/>
  <c r="M152" i="10"/>
  <c r="M136" i="10"/>
  <c r="M120" i="10"/>
  <c r="M104" i="10"/>
  <c r="M88" i="10"/>
  <c r="M72" i="10"/>
  <c r="M56" i="10"/>
  <c r="M40" i="10"/>
  <c r="L9" i="10"/>
  <c r="M24" i="10"/>
  <c r="L18" i="10"/>
  <c r="L153" i="10"/>
  <c r="L137" i="10"/>
  <c r="L121" i="10"/>
  <c r="L105" i="10"/>
  <c r="L89" i="10"/>
  <c r="L73" i="10"/>
  <c r="L57" i="10"/>
  <c r="L41" i="10"/>
  <c r="M151" i="10"/>
  <c r="M135" i="10"/>
  <c r="M119" i="10"/>
  <c r="M103" i="10"/>
  <c r="M87" i="10"/>
  <c r="M71" i="10"/>
  <c r="M55" i="10"/>
  <c r="M39" i="10"/>
  <c r="M9" i="10"/>
  <c r="L17" i="10"/>
  <c r="L152" i="10"/>
  <c r="L136" i="10"/>
  <c r="L104" i="10"/>
  <c r="L88" i="10"/>
  <c r="L72" i="10"/>
  <c r="L56" i="10"/>
  <c r="L40" i="10"/>
  <c r="M150" i="10"/>
  <c r="M134" i="10"/>
  <c r="M118" i="10"/>
  <c r="M102" i="10"/>
  <c r="M86" i="10"/>
  <c r="M70" i="10"/>
  <c r="M54" i="10"/>
  <c r="M38" i="10"/>
  <c r="L156" i="10"/>
  <c r="L25" i="10"/>
  <c r="L120" i="10"/>
  <c r="L5" i="10"/>
  <c r="M12" i="10"/>
  <c r="L16" i="10"/>
  <c r="L151" i="10"/>
  <c r="L135" i="10"/>
  <c r="L119" i="10"/>
  <c r="L103" i="10"/>
  <c r="L87" i="10"/>
  <c r="L71" i="10"/>
  <c r="L55" i="10"/>
  <c r="L39" i="10"/>
  <c r="M149" i="10"/>
  <c r="M133" i="10"/>
  <c r="M117" i="10"/>
  <c r="M101" i="10"/>
  <c r="M85" i="10"/>
  <c r="M69" i="10"/>
  <c r="M53" i="10"/>
  <c r="M37" i="10"/>
  <c r="L19" i="10"/>
  <c r="L15" i="10"/>
  <c r="L118" i="10"/>
  <c r="L70" i="10"/>
  <c r="L38" i="10"/>
  <c r="M148" i="10"/>
  <c r="M132" i="10"/>
  <c r="M116" i="10"/>
  <c r="M100" i="10"/>
  <c r="M84" i="10"/>
  <c r="M52" i="10"/>
  <c r="M36" i="10"/>
  <c r="M23" i="10"/>
  <c r="L150" i="10"/>
  <c r="L134" i="10"/>
  <c r="L102" i="10"/>
  <c r="L86" i="10"/>
  <c r="L54" i="10"/>
  <c r="M68" i="10"/>
  <c r="L23" i="10"/>
  <c r="M6" i="10"/>
  <c r="M14" i="10"/>
  <c r="L149" i="10"/>
  <c r="L133" i="10"/>
  <c r="L117" i="10"/>
  <c r="L101" i="10"/>
  <c r="L85" i="10"/>
  <c r="L69" i="10"/>
  <c r="L53" i="10"/>
  <c r="L37" i="10"/>
  <c r="M147" i="10"/>
  <c r="M131" i="10"/>
  <c r="M115" i="10"/>
  <c r="M99" i="10"/>
  <c r="M83" i="10"/>
  <c r="M67" i="10"/>
  <c r="M51" i="10"/>
  <c r="M35" i="10"/>
  <c r="M33" i="10"/>
  <c r="M10" i="10"/>
  <c r="M15" i="10"/>
  <c r="M18" i="10"/>
  <c r="M30" i="10"/>
  <c r="M28" i="10"/>
  <c r="M13" i="10"/>
  <c r="M29" i="10"/>
  <c r="M32" i="10"/>
  <c r="L3" i="10"/>
  <c r="M3" i="10"/>
  <c r="M27" i="10"/>
  <c r="M34" i="10"/>
  <c r="M17" i="10"/>
  <c r="M16" i="10"/>
  <c r="M25" i="10"/>
  <c r="M5" i="10"/>
  <c r="M26" i="10"/>
  <c r="M19" i="10"/>
  <c r="K9" i="4" l="1"/>
  <c r="K8" i="4"/>
  <c r="K6" i="4"/>
  <c r="K7" i="4"/>
  <c r="K4" i="4"/>
  <c r="K3" i="4"/>
  <c r="K6" i="1"/>
  <c r="K4" i="1"/>
  <c r="K5" i="1"/>
  <c r="K7" i="1"/>
  <c r="K3" i="1"/>
  <c r="K2" i="1"/>
  <c r="K9" i="1"/>
  <c r="K10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E04D485-1A55-46FB-BFD7-6157F508070E}" keepAlive="1" name="Query - aureus_rxns" description="Connection to the 'aureus_rxns' query in the workbook." type="5" refreshedVersion="8" background="1" saveData="1">
    <dbPr connection="Provider=Microsoft.Mashup.OleDb.1;Data Source=$Workbook$;Location=aureus_rxns;Extended Properties=&quot;&quot;" command="SELECT * FROM [aureus_rxns]"/>
  </connection>
  <connection id="2" xr16:uid="{F5EE0085-A34C-4A44-878A-4DE9093494C9}" keepAlive="1" name="Query - genitalium_rxns" description="Connection to the 'genitalium_rxns' query in the workbook." type="5" refreshedVersion="8" background="1" saveData="1">
    <dbPr connection="Provider=Microsoft.Mashup.OleDb.1;Data Source=$Workbook$;Location=genitalium_rxns;Extended Properties=&quot;&quot;" command="SELECT * FROM [genitalium_rxns]"/>
  </connection>
  <connection id="3" xr16:uid="{807097F6-BB3E-488F-B61B-C25A06622DBA}" keepAlive="1" name="Query - jcvi_rxns" description="Connection to the 'jcvi_rxns' query in the workbook." type="5" refreshedVersion="8" background="1" saveData="1">
    <dbPr connection="Provider=Microsoft.Mashup.OleDb.1;Data Source=$Workbook$;Location=jcvi_rxns;Extended Properties=&quot;&quot;" command="SELECT * FROM [jcvi_rxns]"/>
  </connection>
  <connection id="4" xr16:uid="{A4240C9E-C2CD-47FA-8DE4-4CC13B6CF95F}" keepAlive="1" name="Query - minesweeper_rxns" description="Connection to the 'minesweeper_rxns' query in the workbook." type="5" refreshedVersion="8" background="1" saveData="1">
    <dbPr connection="Provider=Microsoft.Mashup.OleDb.1;Data Source=$Workbook$;Location=minesweeper_rxns;Extended Properties=&quot;&quot;" command="SELECT * FROM [minesweeper_rxns]"/>
  </connection>
  <connection id="5" xr16:uid="{CD22C981-3A2F-4CD8-9C7C-3A590F4E3B78}" keepAlive="1" name="Query - pneumoniae_rxns" description="Connection to the 'pneumoniae_rxns' query in the workbook." type="5" refreshedVersion="8" background="1" saveData="1">
    <dbPr connection="Provider=Microsoft.Mashup.OleDb.1;Data Source=$Workbook$;Location=pneumoniae_rxns;Extended Properties=&quot;&quot;" command="SELECT * FROM [pneumoniae_rxns]"/>
  </connection>
  <connection id="6" xr16:uid="{3AE94F67-A35F-4DAB-B3B3-CD66DA3BDE0D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7" xr16:uid="{E8CF71D0-BD0C-4668-9DC0-3CB4FF5652F2}" name="WorksheetConnection_ec_compare.xlsx!Table6" type="102" refreshedVersion="8" minRefreshableVersion="5">
    <extLst>
      <ext xmlns:x15="http://schemas.microsoft.com/office/spreadsheetml/2010/11/main" uri="{DE250136-89BD-433C-8126-D09CA5730AF9}">
        <x15:connection id="Table6" autoDelete="1">
          <x15:rangePr sourceName="_xlcn.WorksheetConnection_ec_compare.xlsxTable61"/>
        </x15:connection>
      </ext>
    </extLst>
  </connection>
  <connection id="8" xr16:uid="{E7E28724-AD2C-47F9-92DE-A5C10D40E9A3}" name="WorksheetConnection_ec_compare.xlsx!Table8" type="102" refreshedVersion="8" minRefreshableVersion="5">
    <extLst>
      <ext xmlns:x15="http://schemas.microsoft.com/office/spreadsheetml/2010/11/main" uri="{DE250136-89BD-433C-8126-D09CA5730AF9}">
        <x15:connection id="Table8">
          <x15:rangePr sourceName="_xlcn.WorksheetConnection_ec_compare.xlsxTable8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<sst xmlns="http://schemas.openxmlformats.org/spreadsheetml/2006/main" count="5140" uniqueCount="1066">
  <si>
    <t>2.7.7.7</t>
  </si>
  <si>
    <t>6.1.1.11</t>
  </si>
  <si>
    <t>2.7.7.60</t>
  </si>
  <si>
    <t>1.1.1.205</t>
  </si>
  <si>
    <t>6.3.5.2</t>
  </si>
  <si>
    <t>2.7.4.9</t>
  </si>
  <si>
    <t>6.1.1.10</t>
  </si>
  <si>
    <t>2.7.7.23</t>
  </si>
  <si>
    <t>2.7.6.1</t>
  </si>
  <si>
    <t>3.1.1.29</t>
  </si>
  <si>
    <t>2.4.2.8</t>
  </si>
  <si>
    <t>2.5.1.15</t>
  </si>
  <si>
    <t>4.1.2.25</t>
  </si>
  <si>
    <t>2.7.6.3</t>
  </si>
  <si>
    <t>6.1.1.6</t>
  </si>
  <si>
    <t>6.1.1.17</t>
  </si>
  <si>
    <t>6.1.1.16</t>
  </si>
  <si>
    <t>2.7.7.6</t>
  </si>
  <si>
    <t>3.6.5.3</t>
  </si>
  <si>
    <t>2.3.1.8</t>
  </si>
  <si>
    <t>4.1.1.33</t>
  </si>
  <si>
    <t>2.7.4.2</t>
  </si>
  <si>
    <t>6.1.1.19</t>
  </si>
  <si>
    <t>2.7.7.39</t>
  </si>
  <si>
    <t>1.17.4.1</t>
  </si>
  <si>
    <t>1.3.1.98</t>
  </si>
  <si>
    <t>2.7.11.1</t>
  </si>
  <si>
    <t>1.8.1.9</t>
  </si>
  <si>
    <t>2.7.2.3</t>
  </si>
  <si>
    <t>5.3.1.1</t>
  </si>
  <si>
    <t>4.2.1.11</t>
  </si>
  <si>
    <t>4.2.1.10</t>
  </si>
  <si>
    <t>6.1.1.13</t>
  </si>
  <si>
    <t>5.3.1.9</t>
  </si>
  <si>
    <t>2.3.1.41</t>
  </si>
  <si>
    <t>6.1.1.2</t>
  </si>
  <si>
    <t>2.7.1.23</t>
  </si>
  <si>
    <t>1.3.1.10</t>
  </si>
  <si>
    <t>6.3.2.13</t>
  </si>
  <si>
    <t>4.1.1.71</t>
  </si>
  <si>
    <t>4.1.3.36</t>
  </si>
  <si>
    <t>3.5.1.88</t>
  </si>
  <si>
    <t>1.2.4.1</t>
  </si>
  <si>
    <t>1.8.1.4</t>
  </si>
  <si>
    <t>2.7.7.3</t>
  </si>
  <si>
    <t>6.1.1.20</t>
  </si>
  <si>
    <t>5.1.1.3</t>
  </si>
  <si>
    <t>2.1.1.185</t>
  </si>
  <si>
    <t>2.7.8.13</t>
  </si>
  <si>
    <t>6.3.2.9</t>
  </si>
  <si>
    <t>6.1.1.5</t>
  </si>
  <si>
    <t>2.1.3.2</t>
  </si>
  <si>
    <t>3.5.2.3</t>
  </si>
  <si>
    <t>6.3.5.5</t>
  </si>
  <si>
    <t>4.1.1.23</t>
  </si>
  <si>
    <t>2.4.2.10</t>
  </si>
  <si>
    <t>2.7.4.8</t>
  </si>
  <si>
    <t>2.1.2.9</t>
  </si>
  <si>
    <t>5.1.3.1</t>
  </si>
  <si>
    <t>2.3.1.39</t>
  </si>
  <si>
    <t>1.1.1.100</t>
  </si>
  <si>
    <t>6.2.1.5</t>
  </si>
  <si>
    <t>5.4.2.11</t>
  </si>
  <si>
    <t>5.4.2.12</t>
  </si>
  <si>
    <t>7.1.1.2</t>
  </si>
  <si>
    <t>2.5.1.31</t>
  </si>
  <si>
    <t>6.1.1.15</t>
  </si>
  <si>
    <t>2.7.8.5</t>
  </si>
  <si>
    <t>6.3.1.2</t>
  </si>
  <si>
    <t>2.2.1.1</t>
  </si>
  <si>
    <t>2.4.1.227</t>
  </si>
  <si>
    <t>1.5.1.3</t>
  </si>
  <si>
    <t>2.1.1.45</t>
  </si>
  <si>
    <t>6.3.4.15</t>
  </si>
  <si>
    <t>2.5.1.19</t>
  </si>
  <si>
    <t>4.2.3.4</t>
  </si>
  <si>
    <t>4.2.3.5</t>
  </si>
  <si>
    <t>1.1.1.94</t>
  </si>
  <si>
    <t>2.7.4.14</t>
  </si>
  <si>
    <t>1.1.1.49</t>
  </si>
  <si>
    <t>1.1.1.44</t>
  </si>
  <si>
    <t>1.2.4.4</t>
  </si>
  <si>
    <t>6.4.1.2</t>
  </si>
  <si>
    <t>2.7.1.71</t>
  </si>
  <si>
    <t>2.7.7.101</t>
  </si>
  <si>
    <t>6.1.1.14</t>
  </si>
  <si>
    <t>3.5.4.5</t>
  </si>
  <si>
    <t>1.1.1.25</t>
  </si>
  <si>
    <t>6.1.1.7</t>
  </si>
  <si>
    <t>6.1.1.12</t>
  </si>
  <si>
    <t>6.1.1.21</t>
  </si>
  <si>
    <t>2.7.6.5</t>
  </si>
  <si>
    <t>6.3.2.17</t>
  </si>
  <si>
    <t>6.1.1.9</t>
  </si>
  <si>
    <t>4.2.1.24</t>
  </si>
  <si>
    <t>4.2.1.75</t>
  </si>
  <si>
    <t>2.5.1.61</t>
  </si>
  <si>
    <t>6.1.1.3</t>
  </si>
  <si>
    <t>2.7.1.24</t>
  </si>
  <si>
    <t>2.7.1.40</t>
  </si>
  <si>
    <t>2.7.1.11</t>
  </si>
  <si>
    <t>2.3.1.51</t>
  </si>
  <si>
    <t>6.1.1.1</t>
  </si>
  <si>
    <t>6.3.2.8</t>
  </si>
  <si>
    <t>6.1.1.4</t>
  </si>
  <si>
    <t>2.5.1.6</t>
  </si>
  <si>
    <t>4.1.1.37</t>
  </si>
  <si>
    <t>6.5.1.2</t>
  </si>
  <si>
    <t>6.3.1.5</t>
  </si>
  <si>
    <t>6.3.4.21</t>
  </si>
  <si>
    <t>3.6.1.1</t>
  </si>
  <si>
    <t>2.7.8.7</t>
  </si>
  <si>
    <t>6.3.2.4</t>
  </si>
  <si>
    <t>2.5.1.7</t>
  </si>
  <si>
    <t>4.1.2.13</t>
  </si>
  <si>
    <t>6.3.4.2</t>
  </si>
  <si>
    <t>2.7.1.33</t>
  </si>
  <si>
    <t>2.6.1.16</t>
  </si>
  <si>
    <t>5.4.2.2</t>
  </si>
  <si>
    <t>3.5.3.1</t>
  </si>
  <si>
    <t>5.4.99.12</t>
  </si>
  <si>
    <t>2.7.4.3</t>
  </si>
  <si>
    <t>5.3.1.6</t>
  </si>
  <si>
    <t>5.3.3.2</t>
  </si>
  <si>
    <t>1.1.1.88</t>
  </si>
  <si>
    <t>4.98.1.1</t>
  </si>
  <si>
    <t>2.3.1.266</t>
  </si>
  <si>
    <t>2.3.1.267</t>
  </si>
  <si>
    <t>2.4.2.9</t>
  </si>
  <si>
    <t>2.7.1.21</t>
  </si>
  <si>
    <t>2.7.1.30</t>
  </si>
  <si>
    <t>2.3.1.234</t>
  </si>
  <si>
    <t>2.4.2.1</t>
  </si>
  <si>
    <t>4.1.2.4</t>
  </si>
  <si>
    <t>6.3.4.19</t>
  </si>
  <si>
    <t>2.5.1.145</t>
  </si>
  <si>
    <t>6.1.1.22</t>
  </si>
  <si>
    <t>5.1.3.2</t>
  </si>
  <si>
    <t>5.4.99.9</t>
  </si>
  <si>
    <t>2.7.1.26</t>
  </si>
  <si>
    <t>2.7.7.2</t>
  </si>
  <si>
    <t>3.1.3.7</t>
  </si>
  <si>
    <t>2.1.1.199</t>
  </si>
  <si>
    <t>2.7.7.18</t>
  </si>
  <si>
    <t>2.3.1.15</t>
  </si>
  <si>
    <t>3.1.3.16</t>
  </si>
  <si>
    <t>6.3.1.20</t>
  </si>
  <si>
    <t>2.3.1.12</t>
  </si>
  <si>
    <t>2.3.1.61</t>
  </si>
  <si>
    <t>2.4.2.7</t>
  </si>
  <si>
    <t>2.8.1.13</t>
  </si>
  <si>
    <t>3.6.4.13</t>
  </si>
  <si>
    <t>3.1.3.100</t>
  </si>
  <si>
    <t>2.7.4.25</t>
  </si>
  <si>
    <t>2.1.1.33</t>
  </si>
  <si>
    <t>2.7.2.1</t>
  </si>
  <si>
    <t>2.3.1.274</t>
  </si>
  <si>
    <t>2.8.1.4</t>
  </si>
  <si>
    <t>2.7.1.48</t>
  </si>
  <si>
    <t>2.1.2.1</t>
  </si>
  <si>
    <t>7.1.2.2</t>
  </si>
  <si>
    <t>2.7.3.9</t>
  </si>
  <si>
    <t>2.7.4.22</t>
  </si>
  <si>
    <t>2.1.1.228</t>
  </si>
  <si>
    <t>1.8.4.12</t>
  </si>
  <si>
    <t>2.7.7.9</t>
  </si>
  <si>
    <t>1.2.4.2</t>
  </si>
  <si>
    <t>2.1.1.198</t>
  </si>
  <si>
    <t>5.2.1.8</t>
  </si>
  <si>
    <t>2.1.1.207</t>
  </si>
  <si>
    <t>2.1.1.170</t>
  </si>
  <si>
    <t>1.8.4.11</t>
  </si>
  <si>
    <t>7.3.2.1</t>
  </si>
  <si>
    <t>2.1.1.182</t>
  </si>
  <si>
    <t>1.7.1.17</t>
  </si>
  <si>
    <t>1.1.1.27</t>
  </si>
  <si>
    <t>Aureus</t>
  </si>
  <si>
    <t>Genitalium</t>
  </si>
  <si>
    <t>Minesweeper</t>
  </si>
  <si>
    <t>Pneumoniae</t>
  </si>
  <si>
    <t>Shared by all 4:</t>
  </si>
  <si>
    <t>Shared by G,M,P:</t>
  </si>
  <si>
    <t>Uniq to A</t>
  </si>
  <si>
    <t>Uniq to G</t>
  </si>
  <si>
    <t>Uniq to M</t>
  </si>
  <si>
    <t>Uniq to P</t>
  </si>
  <si>
    <t>2.4.1.46</t>
  </si>
  <si>
    <t>3.1.3.5</t>
  </si>
  <si>
    <t>3.1.3.89</t>
  </si>
  <si>
    <t>2.7.1.74</t>
  </si>
  <si>
    <t>3.6.1.15</t>
  </si>
  <si>
    <t>2.7.4.11</t>
  </si>
  <si>
    <t>2.7.8.8</t>
  </si>
  <si>
    <t>3.5.4.12</t>
  </si>
  <si>
    <t>3.5.4.13</t>
  </si>
  <si>
    <t>3.6.1.12</t>
  </si>
  <si>
    <t>2.7.1.76</t>
  </si>
  <si>
    <t>2.7.1.113</t>
  </si>
  <si>
    <t>3.6.1.23</t>
  </si>
  <si>
    <t>3.5.99.6</t>
  </si>
  <si>
    <t>6.3.3.2</t>
  </si>
  <si>
    <t>1.2.1.9</t>
  </si>
  <si>
    <t>3.5.4.9</t>
  </si>
  <si>
    <t>1.5.1.5</t>
  </si>
  <si>
    <t>3.5.1.25</t>
  </si>
  <si>
    <t>2.7.1.60</t>
  </si>
  <si>
    <t>2.4.2.12</t>
  </si>
  <si>
    <t>2.7.7.41</t>
  </si>
  <si>
    <t>3.1.3.4</t>
  </si>
  <si>
    <t>3.1.3.27</t>
  </si>
  <si>
    <t>5.4.2.5</t>
  </si>
  <si>
    <t>1.2.1.12</t>
  </si>
  <si>
    <t>5.4.2.7</t>
  </si>
  <si>
    <t>5.3.1.8</t>
  </si>
  <si>
    <t>5.1.3.9</t>
  </si>
  <si>
    <t>4.1.1.65</t>
  </si>
  <si>
    <t>2.2.1.2</t>
  </si>
  <si>
    <t>2.7.4.6</t>
  </si>
  <si>
    <t>2.7.1.199</t>
  </si>
  <si>
    <t>Amino acid metabolism</t>
  </si>
  <si>
    <t>3.13.2.1</t>
  </si>
  <si>
    <t>Carbohydrate metabolism</t>
  </si>
  <si>
    <t>Energy metabolism</t>
  </si>
  <si>
    <t>Lipid metabolism</t>
  </si>
  <si>
    <t>Metabolism of cofactors and vitamins</t>
  </si>
  <si>
    <t>Nucleotide metabolism</t>
  </si>
  <si>
    <t>ID</t>
  </si>
  <si>
    <t>EC</t>
  </si>
  <si>
    <t>Module</t>
  </si>
  <si>
    <t>Biosynthesis of terpenoids and polyketides</t>
  </si>
  <si>
    <t>3.1.4.14</t>
  </si>
  <si>
    <t>2.7.1.32</t>
  </si>
  <si>
    <t>2.7.1.82</t>
  </si>
  <si>
    <t>1.6.3.4</t>
  </si>
  <si>
    <t>3.6.5.1</t>
  </si>
  <si>
    <t>None</t>
  </si>
  <si>
    <t>Shared by all:</t>
  </si>
  <si>
    <t>Substrates</t>
  </si>
  <si>
    <t>Products</t>
  </si>
  <si>
    <t>['UDP-alpha-D-galactose', '1,2-Diacyl-sn-glycerol']</t>
  </si>
  <si>
    <t>['UDP', '1,2-Diacyl-3-beta-D-galactosyl-sn-glycerol']</t>
  </si>
  <si>
    <t>['Phosphatidate', 'CoA']</t>
  </si>
  <si>
    <t>['1-Acyl-sn-glycerol 3-phosphate', 'Acyl-CoA']</t>
  </si>
  <si>
    <t>["3'-Phosphoadenylyl sulfate"]</t>
  </si>
  <si>
    <t>['Adenylyl sulfate', 'Orthophosphate']</t>
  </si>
  <si>
    <t>['AMP']</t>
  </si>
  <si>
    <t>['Adenosine', 'Orthophosphate']</t>
  </si>
  <si>
    <t>['CMP']</t>
  </si>
  <si>
    <t>['Cytidine', 'Orthophosphate']</t>
  </si>
  <si>
    <t>['UMP']</t>
  </si>
  <si>
    <t>['Uridine', 'Orthophosphate']</t>
  </si>
  <si>
    <t>['IMP']</t>
  </si>
  <si>
    <t>['Inosine', 'Orthophosphate']</t>
  </si>
  <si>
    <t>['GMP']</t>
  </si>
  <si>
    <t>['Guanosine', 'Orthophosphate']</t>
  </si>
  <si>
    <t>['Nicotinamide D-ribonucleotide']</t>
  </si>
  <si>
    <t>['Nicotinamide-beta-riboside', 'Orthophosphate']</t>
  </si>
  <si>
    <t>["Xanthosine 5'-phosphate"]</t>
  </si>
  <si>
    <t>['Xanthosine', 'Orthophosphate']</t>
  </si>
  <si>
    <t>['Nicotinate D-ribonucleotide']</t>
  </si>
  <si>
    <t>['Nicotinate D-ribonucleoside', 'Orthophosphate']</t>
  </si>
  <si>
    <t>['dTMP']</t>
  </si>
  <si>
    <t>['Thymidine', 'Orthophosphate']</t>
  </si>
  <si>
    <t>['dCMP']</t>
  </si>
  <si>
    <t>['Deoxycytidine', 'Orthophosphate']</t>
  </si>
  <si>
    <t>['dGMP']</t>
  </si>
  <si>
    <t>['Deoxyguanosine', 'Orthophosphate']</t>
  </si>
  <si>
    <t>['dAMP']</t>
  </si>
  <si>
    <t>['Deoxyadenosine', 'Orthophosphate']</t>
  </si>
  <si>
    <t>['dUMP']</t>
  </si>
  <si>
    <t>['Deoxyuridine', 'Orthophosphate']</t>
  </si>
  <si>
    <t>['ATP', 'beta-D-Fructose 6-phosphate']</t>
  </si>
  <si>
    <t>['ADP', 'beta-D-Fructose 1,6-bisphosphate']</t>
  </si>
  <si>
    <t>['ATP', 'Sedoheptulose 7-phosphate']</t>
  </si>
  <si>
    <t>['ADP', 'Sedoheptulose 1,7-bisphosphate']</t>
  </si>
  <si>
    <t>['ATP', 'Acetate']</t>
  </si>
  <si>
    <t>['ADP', 'Acetyl phosphate']</t>
  </si>
  <si>
    <t>['ATP', 'Propanoate']</t>
  </si>
  <si>
    <t>['ADP', 'Propanoyl phosphate']</t>
  </si>
  <si>
    <t>['AMP', 'Diphosphate']</t>
  </si>
  <si>
    <t>['Adenine', '5-Phospho-alpha-D-ribose 1-diphosphate']</t>
  </si>
  <si>
    <t>["1-(5'-Phosphoribosyl)-5-amino-4-imidazolecarboxamide", 'Diphosphate']</t>
  </si>
  <si>
    <t>['5-Amino-4-imidazolecarboxyamide', '5-Phospho-alpha-D-ribose 1-diphosphate']</t>
  </si>
  <si>
    <t>['IMP', 'Diphosphate']</t>
  </si>
  <si>
    <t>['Hypoxanthine', '5-Phospho-alpha-D-ribose 1-diphosphate']</t>
  </si>
  <si>
    <t>['GMP', 'Diphosphate']</t>
  </si>
  <si>
    <t>['Guanine', '5-Phospho-alpha-D-ribose 1-diphosphate']</t>
  </si>
  <si>
    <t>["Xanthosine 5'-phosphate", 'Diphosphate']</t>
  </si>
  <si>
    <t>['Xanthine', '5-Phospho-alpha-D-ribose 1-diphosphate']</t>
  </si>
  <si>
    <t>['6-Mercaptopurine', '5-Phospho-alpha-D-ribose 1-diphosphate']</t>
  </si>
  <si>
    <t>["6-Thioinosine-5'-monophosphate", 'Diphosphate']</t>
  </si>
  <si>
    <t>['6-Methylmercaptopurine', '5-Phospho-alpha-D-ribose 1-diphosphate']</t>
  </si>
  <si>
    <t>["6-Methylthiopurine 5'-monophosphate ribonucleotide", 'Diphosphate']</t>
  </si>
  <si>
    <t>['Thioguanine', '5-Phospho-alpha-D-ribose 1-diphosphate']</t>
  </si>
  <si>
    <t>['6-Thioguanosine monophosphate', 'Diphosphate']</t>
  </si>
  <si>
    <t>['ATP', 'Deoxycytidine']</t>
  </si>
  <si>
    <t>['ADP', 'dCMP']</t>
  </si>
  <si>
    <t>['ATP']</t>
  </si>
  <si>
    <t>['ADP', 'Orthophosphate']</t>
  </si>
  <si>
    <t>['Thiamin diphosphate']</t>
  </si>
  <si>
    <t>['Thiamin monophosphate', 'Orthophosphate']</t>
  </si>
  <si>
    <t>['ATP', 'AMP']</t>
  </si>
  <si>
    <t>['2 ADP']</t>
  </si>
  <si>
    <t>['ATP', 'dAMP']</t>
  </si>
  <si>
    <t>['ADP', 'dADP']</t>
  </si>
  <si>
    <t>['Thiamin diphosphate', 'ADP']</t>
  </si>
  <si>
    <t>['Thiamin triphosphate', 'AMP']</t>
  </si>
  <si>
    <t>['CDP-diacylglycerol', 'sn-Glycerol 3-phosphate']</t>
  </si>
  <si>
    <t>['CMP', 'Phosphatidylglycerophosphate']</t>
  </si>
  <si>
    <t>['CDP-diacylglycerol', 'L-Serine']</t>
  </si>
  <si>
    <t>['CMP', 'Phosphatidylserine']</t>
  </si>
  <si>
    <t>['ATP', 'CMP']</t>
  </si>
  <si>
    <t>['ADP', 'CDP']</t>
  </si>
  <si>
    <t>['ATP', 'dCMP']</t>
  </si>
  <si>
    <t>['ADP', 'dCDP']</t>
  </si>
  <si>
    <t>['ATP', 'UMP']</t>
  </si>
  <si>
    <t>['ADP', 'UDP']</t>
  </si>
  <si>
    <t>['ATP', 'UTP', 'Ammonia']</t>
  </si>
  <si>
    <t>['ADP', 'Orthophosphate', 'CTP']</t>
  </si>
  <si>
    <t>['ATP', 'UTP', 'L-Glutamine']</t>
  </si>
  <si>
    <t>['ADP', 'Orthophosphate', 'CTP', 'L-Glutamate']</t>
  </si>
  <si>
    <t>['dUMP', 'Ammonia']</t>
  </si>
  <si>
    <t>['dCTP']</t>
  </si>
  <si>
    <t>['dUTP', 'Ammonia']</t>
  </si>
  <si>
    <t>['dCMP', 'Diphosphate']</t>
  </si>
  <si>
    <t>['dCDP']</t>
  </si>
  <si>
    <t>['dCMP', 'Orthophosphate']</t>
  </si>
  <si>
    <t>['ATP', 'Deoxyadenosine']</t>
  </si>
  <si>
    <t>['ADP', 'dAMP']</t>
  </si>
  <si>
    <t>['ATP', 'Deoxyguanosine']</t>
  </si>
  <si>
    <t>['ADP', 'dGMP']</t>
  </si>
  <si>
    <t>['Tetrahydrofolate', 'NADP+']</t>
  </si>
  <si>
    <t>['Dihydrofolate', 'NADPH']</t>
  </si>
  <si>
    <t>['Dihydrofolate', 'NAD+']</t>
  </si>
  <si>
    <t>['Folate', 'NADH']</t>
  </si>
  <si>
    <t>['ATP', 'dTMP']</t>
  </si>
  <si>
    <t>['ADP', 'dTDP']</t>
  </si>
  <si>
    <t>['ATP', 'dUMP']</t>
  </si>
  <si>
    <t>['ADP', 'dUDP']</t>
  </si>
  <si>
    <t>['dUTP']</t>
  </si>
  <si>
    <t>['dUMP', 'Diphosphate']</t>
  </si>
  <si>
    <t>['5-Fluorodeoxyuridine triphosphate']</t>
  </si>
  <si>
    <t>['5-Fluorodeoxyuridine monophosphate', 'Diphosphate']</t>
  </si>
  <si>
    <t>['ATP', 'FMN']</t>
  </si>
  <si>
    <t>['Diphosphate', 'FAD']</t>
  </si>
  <si>
    <t>['ATP', 'THF-polyglutamate(n)', 'L-Glutamate']</t>
  </si>
  <si>
    <t>['ADP', 'Orthophosphate', 'THF-polyglutamate(n+1)']</t>
  </si>
  <si>
    <t>['ATP', 'Tetrahydrofolate', 'L-Glutamate']</t>
  </si>
  <si>
    <t>['ADP', 'Orthophosphate', 'THF-L-glutamate']</t>
  </si>
  <si>
    <t>['ATP', 'Dihydropteroate', 'L-Glutamate']</t>
  </si>
  <si>
    <t>['ADP', 'Orthophosphate', 'Dihydrofolate']</t>
  </si>
  <si>
    <t>['D-Glucosamine 6-phosphate']</t>
  </si>
  <si>
    <t>['D-Fructose 6-phosphate', 'Ammonia']</t>
  </si>
  <si>
    <t>['ATP', 'Folinic acid']</t>
  </si>
  <si>
    <t>['ADP', 'Orthophosphate', '5,10-Methenyltetrahydrofolate']</t>
  </si>
  <si>
    <t>['D-Glyceraldehyde 3-phosphate', 'NADP+']</t>
  </si>
  <si>
    <t>['3-Phospho-D-glycerate', 'NADPH']</t>
  </si>
  <si>
    <t>['ATP', 'Glycerol']</t>
  </si>
  <si>
    <t>['ADP', 'sn-Glycerol 3-phosphate']</t>
  </si>
  <si>
    <t>['sn-Glycerol 3-phosphate', 'Acyl-CoA']</t>
  </si>
  <si>
    <t>['1-Acyl-sn-glycerol 3-phosphate', 'CoA']</t>
  </si>
  <si>
    <t>['5,10-Methylenetetrahydrofolate', 'Glycine']</t>
  </si>
  <si>
    <t>['Tetrahydrofolate', 'L-Serine']</t>
  </si>
  <si>
    <t>['L-Serine', '5,6,7,8-Tetrahydromethanopterin']</t>
  </si>
  <si>
    <t>['5,10-Methylenetetrahydromethanopterin', 'Glycine']</t>
  </si>
  <si>
    <t>['ATP', 'GMP']</t>
  </si>
  <si>
    <t>['ADP', 'GDP']</t>
  </si>
  <si>
    <t>['ATP', 'dGMP']</t>
  </si>
  <si>
    <t>['ADP', 'dGDP']</t>
  </si>
  <si>
    <t>['CoA', 'Apo-[acyl-carrier-protein],']</t>
  </si>
  <si>
    <t>["Adenosine 3,5'-bisphosphate", 'Acyl-carrier protein']</t>
  </si>
  <si>
    <t>['(S)-Lactate', 'NAD+']</t>
  </si>
  <si>
    <t>['Pyruvate', 'NADH']</t>
  </si>
  <si>
    <t>['L-Methionyl-tRNA', '10-Formyltetrahydrofolate']</t>
  </si>
  <si>
    <t>['Tetrahydrofolate', 'N-Formylmethionyl-tRNA']</t>
  </si>
  <si>
    <t>['5,10-Methenyltetrahydrofolate']</t>
  </si>
  <si>
    <t>['10-Formyltetrahydrofolate']</t>
  </si>
  <si>
    <t>['5,10-Methylenetetrahydrofolate', 'NADP+']</t>
  </si>
  <si>
    <t>['5,10-Methenyltetrahydrofolate', 'NADPH']</t>
  </si>
  <si>
    <t>['N-Acetyl-D-glucosamine 6-phosphate']</t>
  </si>
  <si>
    <t>['D-Glucosamine 6-phosphate', 'Acetate']</t>
  </si>
  <si>
    <t>['N-Acetyl-D-galactosamine 6-phosphate']</t>
  </si>
  <si>
    <t>['D-Galactosamine 6-phosphate', 'Acetate']</t>
  </si>
  <si>
    <t>['ATP', 'N-Acetyl-D-mannosamine']</t>
  </si>
  <si>
    <t>['ADP', 'N-Acetyl-D-mannosamine 6-phosphate']</t>
  </si>
  <si>
    <t>['ATP', 'NAD+']</t>
  </si>
  <si>
    <t>['ADP', 'NADP+']</t>
  </si>
  <si>
    <t>['ATP', 'Deamino-NAD+', 'Ammonia']</t>
  </si>
  <si>
    <t>['AMP', 'Diphosphate', 'NAD+']</t>
  </si>
  <si>
    <t>['Nicotinamide D-ribonucleotide', 'Diphosphate']</t>
  </si>
  <si>
    <t>['Nicotinamide', '5-Phospho-alpha-D-ribose 1-diphosphate']</t>
  </si>
  <si>
    <t>['ATP', 'Nicotinate D-ribonucleotide']</t>
  </si>
  <si>
    <t>['Diphosphate', 'Deamino-NAD+']</t>
  </si>
  <si>
    <t>['ATP', 'Nicotinamide D-ribonucleotide']</t>
  </si>
  <si>
    <t>['Diphosphate', 'NAD+']</t>
  </si>
  <si>
    <t>['Acetyl-CoA', 'Orthophosphate']</t>
  </si>
  <si>
    <t>['CoA', 'Acetyl phosphate']</t>
  </si>
  <si>
    <t>['Propanoyl-CoA', 'Orthophosphate']</t>
  </si>
  <si>
    <t>['Propanoyl phosphate', 'CoA']</t>
  </si>
  <si>
    <t>['CTP', 'Phosphatidate']</t>
  </si>
  <si>
    <t>['Diphosphate', 'CDP-diacylglycerol']</t>
  </si>
  <si>
    <t>['Phosphatidate']</t>
  </si>
  <si>
    <t>['1,2-Diacyl-sn-glycerol', 'Orthophosphate']</t>
  </si>
  <si>
    <t>['2-Acyl-1-alkyl-sn-glycero-3-phosphate']</t>
  </si>
  <si>
    <t>['1-Alkyl-2-acylglycerol', 'Orthophosphate']</t>
  </si>
  <si>
    <t>['Sphinganine 1-phosphate']</t>
  </si>
  <si>
    <t>['Sphinganine', 'Orthophosphate']</t>
  </si>
  <si>
    <t>['Sphingosine 1-phosphate']</t>
  </si>
  <si>
    <t>['Sphingosine', 'Orthophosphate']</t>
  </si>
  <si>
    <t>['Ceramide 1-phosphate']</t>
  </si>
  <si>
    <t>['N-Acylsphingosine', 'Orthophosphate']</t>
  </si>
  <si>
    <t>['Phosphatidylglycerophosphate']</t>
  </si>
  <si>
    <t>['Phosphatidylglycerol', 'Orthophosphate']</t>
  </si>
  <si>
    <t>['ATP', '3-Phospho-D-glycerate']</t>
  </si>
  <si>
    <t>['ADP', '3-Phospho-D-glyceroyl phosphate']</t>
  </si>
  <si>
    <t>['Adenine', 'alpha-D-Ribose 1-phosphate']</t>
  </si>
  <si>
    <t>['Hypoxanthine', 'alpha-D-Ribose 1-phosphate']</t>
  </si>
  <si>
    <t>['Guanine', 'alpha-D-Ribose 1-phosphate']</t>
  </si>
  <si>
    <t>['Xanthine', 'alpha-D-Ribose 1-phosphate']</t>
  </si>
  <si>
    <t>['Guanine', '2-Deoxy-D-ribose 1-phosphate']</t>
  </si>
  <si>
    <t>['Adenine', '2-Deoxy-D-ribose 1-phosphate']</t>
  </si>
  <si>
    <t>['Deoxyinosine', 'Orthophosphate']</t>
  </si>
  <si>
    <t>['Hypoxanthine', '2-Deoxy-D-ribose 1-phosphate']</t>
  </si>
  <si>
    <t>['Nicotinamide', 'alpha-D-Ribose 1-phosphate']</t>
  </si>
  <si>
    <t>['Nicotinate', 'alpha-D-Ribose 1-phosphate']</t>
  </si>
  <si>
    <t>['ATP', 'Pyruvate']</t>
  </si>
  <si>
    <t>['ADP', 'Phosphoenolpyruvate']</t>
  </si>
  <si>
    <t>['GTP', 'Pyruvate']</t>
  </si>
  <si>
    <t>['GDP', 'Phosphoenolpyruvate']</t>
  </si>
  <si>
    <t>['dATP', 'Pyruvate']</t>
  </si>
  <si>
    <t>['dADP', 'Phosphoenolpyruvate']</t>
  </si>
  <si>
    <t>['dGTP', 'Pyruvate']</t>
  </si>
  <si>
    <t>['dGDP', 'Phosphoenolpyruvate']</t>
  </si>
  <si>
    <t>['ATP', 'Riboflavin']</t>
  </si>
  <si>
    <t>['ADP', 'FMN']</t>
  </si>
  <si>
    <t>['dADP', 'Thioredoxin disulfide']</t>
  </si>
  <si>
    <t>['Thioredoxin', 'ADP']</t>
  </si>
  <si>
    <t>['dUDP', 'Thioredoxin disulfide']</t>
  </si>
  <si>
    <t>['Thioredoxin', 'UDP']</t>
  </si>
  <si>
    <t>['dGDP', 'Thioredoxin disulfide']</t>
  </si>
  <si>
    <t>['GDP', 'Thioredoxin']</t>
  </si>
  <si>
    <t>['dCDP', 'Thioredoxin disulfide']</t>
  </si>
  <si>
    <t>['Thioredoxin', 'CDP']</t>
  </si>
  <si>
    <t>["2'-Deoxyribonucleoside diphosphate", 'Tryparedoxin disulfide']</t>
  </si>
  <si>
    <t>['Ribonucleoside diphosphate', 'Tryparedoxin']</t>
  </si>
  <si>
    <t>["2'-Deoxyribonucleoside diphosphate", 'Trypanothione disulfide']</t>
  </si>
  <si>
    <t>['Ribonucleoside diphosphate', 'Trypanothione']</t>
  </si>
  <si>
    <t>['5-Fluorodeoxyuridine diphosphate', 'Thioredoxin disulfide']</t>
  </si>
  <si>
    <t>['5-Fluorouridine diphosphate', 'Thioredoxin']</t>
  </si>
  <si>
    <t>['ATP', 'D-Ribose 5-phosphate']</t>
  </si>
  <si>
    <t>['AMP', '5-Phospho-alpha-D-ribose 1-diphosphate']</t>
  </si>
  <si>
    <t>['Dihydrolipoylprotein', 'NAD+']</t>
  </si>
  <si>
    <t>['Lipoylprotein', 'NADH']</t>
  </si>
  <si>
    <t>['Enzyme N6-(dihydrolipoyl)lysine', 'NAD+']</t>
  </si>
  <si>
    <t>['Enzyme N6-(lipoyl)lysine', 'NADH']</t>
  </si>
  <si>
    <t>['Pyruvate', 'Thiamin diphosphate']</t>
  </si>
  <si>
    <t>['2-(alpha-Hydroxyethyl)thiamine diphosphate']</t>
  </si>
  <si>
    <t>['2-(alpha-Hydroxyethyl)thiamine diphosphate', 'Enzyme N6-(lipoyl)lysine']</t>
  </si>
  <si>
    <t>['[Dihydrolipoyllysine-residue acetyltransferase], S-acetyldihydrolipoyllysine', 'Thiamin diphosphate']</t>
  </si>
  <si>
    <t>['Acetyl-CoA', 'Enzyme N6-(dihydrolipoyl)lysine']</t>
  </si>
  <si>
    <t>['CoA', '[Dihydrolipoyllysine-residue acetyltransferase] S-acetyldihydrolipoyllysine']</t>
  </si>
  <si>
    <t>['D-Fructose 1,6-bisphosphate']</t>
  </si>
  <si>
    <t>['Glycerone phosphate', 'D-Glyceraldehyde 3-phosphate']</t>
  </si>
  <si>
    <t>['beta-D-Fructose 1,6-bisphosphate']</t>
  </si>
  <si>
    <t>['Sedoheptulose 1,7-bisphosphate']</t>
  </si>
  <si>
    <t>['Glycerone phosphate', 'D-Erythrose 4-phosphate']</t>
  </si>
  <si>
    <t>['D-Fructose 1-phosphate']</t>
  </si>
  <si>
    <t>['Glycerone phosphate', 'D-Glyceraldehyde']</t>
  </si>
  <si>
    <t>['alpha-D-Glucose 6-phosphate']</t>
  </si>
  <si>
    <t>['beta-D-Fructose 6-phosphate']</t>
  </si>
  <si>
    <t>['D-Glucose 6-phosphate']</t>
  </si>
  <si>
    <t>['D-Fructose 6-phosphate']</t>
  </si>
  <si>
    <t>['beta-D-Glucose 6-phosphate']</t>
  </si>
  <si>
    <t>['D-Glyceraldehyde 3-phosphate']</t>
  </si>
  <si>
    <t>['Glycerone phosphate']</t>
  </si>
  <si>
    <t>['D-Glucose 1-phosphate']</t>
  </si>
  <si>
    <t>['2-Phospho-D-glycerate']</t>
  </si>
  <si>
    <t>['3-Phospho-D-glycerate']</t>
  </si>
  <si>
    <t>['Phosphoenolpyruvate']</t>
  </si>
  <si>
    <t>['D-Glyceraldehyde 3-phosphate', 'Orthophosphate', 'NAD+']</t>
  </si>
  <si>
    <t>['3-Phospho-D-glyceroyl phosphate', 'NADH']</t>
  </si>
  <si>
    <t>['D-Ribulose 5-phosphate']</t>
  </si>
  <si>
    <t>['D-Xylulose 5-phosphate']</t>
  </si>
  <si>
    <t>['alpha-D-Ribose 1-phosphate']</t>
  </si>
  <si>
    <t>['D-Ribose 5-phosphate']</t>
  </si>
  <si>
    <t>['2-Deoxy-D-ribose 1-phosphate']</t>
  </si>
  <si>
    <t>['2-Deoxy-D-ribose 5-phosphate']</t>
  </si>
  <si>
    <t>['Sedoheptulose 7-phosphate', 'D-Glyceraldehyde 3-phosphate']</t>
  </si>
  <si>
    <t>['D-Ribose 5-phosphate', 'D-Xylulose 5-phosphate']</t>
  </si>
  <si>
    <t>['D-Fructose 6-phosphate', 'D-Glyceraldehyde 3-phosphate']</t>
  </si>
  <si>
    <t>['D-Erythrose 4-phosphate', 'D-Xylulose 5-phosphate']</t>
  </si>
  <si>
    <t>['beta-D-Fructose 6-phosphate', 'D-Glyceraldehyde 3-phosphate']</t>
  </si>
  <si>
    <t>['Aminofructose 6-phosphate', 'D-Ribose 5-phosphate']</t>
  </si>
  <si>
    <t>['Iminoerythrose 4-phosphate', 'Sedoheptulose 7-phosphate']</t>
  </si>
  <si>
    <t>['D-Allose 6-phosphate']</t>
  </si>
  <si>
    <t>['D-Allulose 6-phosphate']</t>
  </si>
  <si>
    <t>['D-Glyceraldehyde 3-phosphate', 'Acetaldehyde']</t>
  </si>
  <si>
    <t>['D-Mannose 6-phosphate']</t>
  </si>
  <si>
    <t>['UDP-glucose']</t>
  </si>
  <si>
    <t>['UDP-alpha-D-galactose']</t>
  </si>
  <si>
    <t>['UDP-alpha-D-galactofuranose']</t>
  </si>
  <si>
    <t>['Orthophosphate', 'Diphosphate', 'S-Adenosyl-L-methionine']</t>
  </si>
  <si>
    <t>['ATP', 'L-Methionine']</t>
  </si>
  <si>
    <t>['N-Acetyl-D-mannosamine 6-phosphate']</t>
  </si>
  <si>
    <t>['Phosphatidylserine']</t>
  </si>
  <si>
    <t>['Phosphatidylethanolamine']</t>
  </si>
  <si>
    <t>['sn-Glycerol 3-phosphate', 'NAD+']</t>
  </si>
  <si>
    <t>['Glycerone phosphate', 'NADH']</t>
  </si>
  <si>
    <t>['Hydrogen selenide', '3 NADP+', '3 H2O']</t>
  </si>
  <si>
    <t>['Selenite', '3 NADPH', '5 H+']</t>
  </si>
  <si>
    <t>['2 NADPH', '2 H+', 'Methylselenic acid']</t>
  </si>
  <si>
    <t>['2 NADP+', '2 H2O', 'Methaneselenol']</t>
  </si>
  <si>
    <t>['ATP', 'Thymidine']</t>
  </si>
  <si>
    <t>['ADP', 'dTMP']</t>
  </si>
  <si>
    <t>['ATP', 'Deoxyuridine']</t>
  </si>
  <si>
    <t>['ADP', 'dUMP']</t>
  </si>
  <si>
    <t>['5-Fluorodeoxyuridine', 'ATP']</t>
  </si>
  <si>
    <t>['5-Fluorodeoxyuridine monophosphate', 'ADP']</t>
  </si>
  <si>
    <t>['dUMP', '5,10-Methylenetetrahydrofolate']</t>
  </si>
  <si>
    <t>['Dihydrofolate', 'dTMP']</t>
  </si>
  <si>
    <t>['D-Erythrose 4-phosphate', 'beta-D-Fructose 6-phosphate']</t>
  </si>
  <si>
    <t>['UMP', 'Diphosphate']</t>
  </si>
  <si>
    <t>['Uracil', '5-Phospho-alpha-D-ribose 1-diphosphate']</t>
  </si>
  <si>
    <t>['UTP', 'D-Glucose 1-phosphate']</t>
  </si>
  <si>
    <t>['Diphosphate', 'UDP-glucose']</t>
  </si>
  <si>
    <t>['ATP', 'UDP']</t>
  </si>
  <si>
    <t>['ADP', 'UTP']</t>
  </si>
  <si>
    <t>['ATP', 'CDP']</t>
  </si>
  <si>
    <t>['ADP', 'CTP']</t>
  </si>
  <si>
    <t>['ATP', 'dTDP']</t>
  </si>
  <si>
    <t>['ADP', 'dTTP']</t>
  </si>
  <si>
    <t>['ATP', 'dCDP']</t>
  </si>
  <si>
    <t>['ADP', 'dCTP']</t>
  </si>
  <si>
    <t>['ATP', 'dUDP']</t>
  </si>
  <si>
    <t>['ADP', 'dUTP']</t>
  </si>
  <si>
    <t>['Protein N(pi)-phospho-L-histidine', 'D-Glucose']</t>
  </si>
  <si>
    <t>['Protein histidine', 'alpha-D-Glucose 6-phosphate']</t>
  </si>
  <si>
    <t>['S-Adenosyl-L-homocysteine']</t>
  </si>
  <si>
    <t>['Adenosine', 'L-Homocysteine']</t>
  </si>
  <si>
    <t>['Diphosphate']</t>
  </si>
  <si>
    <t>['2 Orthophosphate']</t>
  </si>
  <si>
    <t>['2 5-Aminolevulinate']</t>
  </si>
  <si>
    <t>['Porphobilinogen', '2 H2O']</t>
  </si>
  <si>
    <t>['4 Porphobilinogen']</t>
  </si>
  <si>
    <t>['Hydroxymethylbilane', '4 Ammonia']</t>
  </si>
  <si>
    <t>['ATP', 'Dephospho-CoA']</t>
  </si>
  <si>
    <t>['ADP', 'CoA']</t>
  </si>
  <si>
    <t>['ATP', 'Protein']</t>
  </si>
  <si>
    <t>['ADP', 'Phosphoprotein']</t>
  </si>
  <si>
    <t>['ATP', 'L-Glutamate', 'Ammonia']</t>
  </si>
  <si>
    <t>['ADP', 'Orthophosphate', 'L-Glutamine']</t>
  </si>
  <si>
    <t>['L-Glutamine']</t>
  </si>
  <si>
    <t>['L-Glutamate', 'Ammonia']</t>
  </si>
  <si>
    <t>['L-Glutamate']</t>
  </si>
  <si>
    <t>['D-Glutamate']</t>
  </si>
  <si>
    <t>['2-Oxoglutarate']</t>
  </si>
  <si>
    <t>['Succinate semialdehyde']</t>
  </si>
  <si>
    <t>['Protoporphyrin', 'Fe2+']</t>
  </si>
  <si>
    <t>['Heme', '2 H+']</t>
  </si>
  <si>
    <t>['GTP']</t>
  </si>
  <si>
    <t>['GDP', 'Orthophosphate']</t>
  </si>
  <si>
    <t>['dATP', 'DNA']</t>
  </si>
  <si>
    <t>['Diphosphate', 'DNA']</t>
  </si>
  <si>
    <t>['dGTP', 'DNA']</t>
  </si>
  <si>
    <t>['dCTP', 'DNA']</t>
  </si>
  <si>
    <t>['dTTP', 'DNA']</t>
  </si>
  <si>
    <t>['Deoxynucleoside triphosphate', 'DNA(n)']</t>
  </si>
  <si>
    <t>['Diphosphate', 'DNA(n+1)']</t>
  </si>
  <si>
    <t>['NAD+', 'DNA(n)', "5'-Phospho-DNA(m)"]</t>
  </si>
  <si>
    <t>['AMP', 'Nicotinamide D-ribonucleotide', 'DNA(n+m)']</t>
  </si>
  <si>
    <t>['ATP', 'Succinate', 'CoA']</t>
  </si>
  <si>
    <t>['ADP', 'Orthophosphate', 'Succinyl-CoA']</t>
  </si>
  <si>
    <t>['UTP', 'N-Acetyl-alpha-D-glucosamine 1-phosphate']</t>
  </si>
  <si>
    <t>['Diphosphate', 'UDP-N-acetyl-alpha-D-glucosamine']</t>
  </si>
  <si>
    <t>['ATP', 'GTP']</t>
  </si>
  <si>
    <t>['AMP', "Guanosine 3'-diphosphate 5'-triphosphate"]</t>
  </si>
  <si>
    <t>['ATP', 'RNA']</t>
  </si>
  <si>
    <t>['Diphosphate', 'RNA']</t>
  </si>
  <si>
    <t>['GTP', 'RNA']</t>
  </si>
  <si>
    <t>['CTP', 'RNA']</t>
  </si>
  <si>
    <t>['UTP', 'RNA']</t>
  </si>
  <si>
    <t>['Nucleoside triphosphate', 'RNA']</t>
  </si>
  <si>
    <t>['L-Arginine']</t>
  </si>
  <si>
    <t>['L-Ornithine', 'Urea']</t>
  </si>
  <si>
    <t>['CTP', 'Pyruvate']</t>
  </si>
  <si>
    <t>['CDP', 'Phosphoenolpyruvate']</t>
  </si>
  <si>
    <t>['2 ATP', 'L-Glutamine', 'HCO3-']</t>
  </si>
  <si>
    <t>['2 ADP', 'Orthophosphate', 'L-Glutamate', 'Carbamoyl phosphate']</t>
  </si>
  <si>
    <t>['UTP', 'Pyruvate']</t>
  </si>
  <si>
    <t>['UDP', 'Phosphoenolpyruvate']</t>
  </si>
  <si>
    <t>['Phosphoenolpyruvate', 'UDP-N-acetyl-alpha-D-glucosamine']</t>
  </si>
  <si>
    <t>['UDP-N-acetyl-3-(1-carboxyvinyl)-D-glucosamine', 'Orthophosphate']</t>
  </si>
  <si>
    <t>['ITP', 'Pyruvate']</t>
  </si>
  <si>
    <t>['IDP', 'Phosphoenolpyruvate']</t>
  </si>
  <si>
    <t>['ATP', 'Acetyl-CoA', 'HCO3-']</t>
  </si>
  <si>
    <t>['ADP', 'Orthophosphate', 'Malonyl-CoA']</t>
  </si>
  <si>
    <t>['ATP', 'D-Fructose 6-phosphate']</t>
  </si>
  <si>
    <t>['ADP', 'D-Fructose 1,6-bisphosphate']</t>
  </si>
  <si>
    <t>['CTP', 'D-Fructose 6-phosphate']</t>
  </si>
  <si>
    <t>['CDP', 'D-Fructose 1,6-bisphosphate']</t>
  </si>
  <si>
    <t>['L-Glutamine', 'D-Fructose 6-phosphate']</t>
  </si>
  <si>
    <t>['L-Glutamate', 'D-Glucosamine 6-phosphate']</t>
  </si>
  <si>
    <t>['UTP', 'D-Fructose 6-phosphate']</t>
  </si>
  <si>
    <t>['UDP', 'D-Fructose 1,6-bisphosphate']</t>
  </si>
  <si>
    <t>['ITP', 'D-Fructose 6-phosphate']</t>
  </si>
  <si>
    <t>['IDP', 'D-Fructose 1,6-bisphosphate']</t>
  </si>
  <si>
    <t>['D-Glucose 6-phosphate', 'NADP+']</t>
  </si>
  <si>
    <t>['D-Glucono-1,5-lactone 6-phosphate', 'NADPH']</t>
  </si>
  <si>
    <t>['sn-Glycerol 3-phosphate', 'NADP+']</t>
  </si>
  <si>
    <t>['Glycerone phosphate', 'NADPH']</t>
  </si>
  <si>
    <t>['CTP', 'sn-Glycerol 3-phosphate']</t>
  </si>
  <si>
    <t>['Diphosphate', 'CDP-glycerol']</t>
  </si>
  <si>
    <t>['L-Cysteine', 'Glutathione', 'NADP+']</t>
  </si>
  <si>
    <t>['S-Glutathionyl-L-cysteine', 'NADPH']</t>
  </si>
  <si>
    <t>['Tetrahydrofolate', 'NAD+']</t>
  </si>
  <si>
    <t>['Dihydrofolate', 'NADH']</t>
  </si>
  <si>
    <t>['Tetrahydrofolate', '2 NAD+']</t>
  </si>
  <si>
    <t>['Folate', '2 NADH', '2 H+']</t>
  </si>
  <si>
    <t>['Tetrahydrofolate', '2 NADP+']</t>
  </si>
  <si>
    <t>['Folate', '2 NADPH', '2 H+']</t>
  </si>
  <si>
    <t>["Orotidine 5'-phosphate"]</t>
  </si>
  <si>
    <t>['ATP', 'Biotin']</t>
  </si>
  <si>
    <t>['Diphosphate', "Biotinyl-5'-AMP"]</t>
  </si>
  <si>
    <t>['ATP', '(R)-5-Diphosphomevalonate']</t>
  </si>
  <si>
    <t>['ADP', 'Orthophosphate', 'Isopentenyl diphosphate']</t>
  </si>
  <si>
    <t>['Isopentenyl diphosphate']</t>
  </si>
  <si>
    <t>['Dimethylallyl diphosphate']</t>
  </si>
  <si>
    <t>['IMP', 'NAD+']</t>
  </si>
  <si>
    <t>["Xanthosine 5'-phosphate", 'NADH']</t>
  </si>
  <si>
    <t>['ATP', '2 D-Alanine']</t>
  </si>
  <si>
    <t>['ADP', 'Orthophosphate', 'D-Alanyl-D-alanine']</t>
  </si>
  <si>
    <t>['ATP', "Xanthosine 5'-phosphate", 'Ammonia']</t>
  </si>
  <si>
    <t>['AMP', 'Diphosphate', 'GMP']</t>
  </si>
  <si>
    <t>['ATP', "Xanthosine 5'-phosphate", 'L-Glutamine']</t>
  </si>
  <si>
    <t>['AMP', 'Diphosphate', 'GMP', 'L-Glutamate']</t>
  </si>
  <si>
    <t>['ATP', 'Carbamate']</t>
  </si>
  <si>
    <t>['ADP', 'Carbamoyl phosphate']</t>
  </si>
  <si>
    <t>['Carbamoyl phosphate', 'L-Aspartate']</t>
  </si>
  <si>
    <t>['Orthophosphate', 'N-Carbamoyl-L-aspartate']</t>
  </si>
  <si>
    <t>['Acyl-[acyl-carrier protein]', 'NADP+']</t>
  </si>
  <si>
    <t>['trans-2,3-Dehydroacyl-[acyl-carrier protein]', 'NADPH']</t>
  </si>
  <si>
    <t>['2,3-Bisphospho-D-glycerate', 'Protein histidine']</t>
  </si>
  <si>
    <t>['3-Phospho-D-glycerate', 'Protein N(tau)-phospho-L-histidine']</t>
  </si>
  <si>
    <t>['6-Phospho-D-gluconate', 'NADP+']</t>
  </si>
  <si>
    <t>['D-Ribulose 5-phosphate', 'NADPH']</t>
  </si>
  <si>
    <t>['Malonyl-CoA', 'Acyl-carrier protein']</t>
  </si>
  <si>
    <t>['CoA', 'Malonyl-[acyl-carrier protein],']</t>
  </si>
  <si>
    <t>['ATP', '10-Formyltetrahydrofolate', 'L-Glutamate']</t>
  </si>
  <si>
    <t>['ADP', 'Orthophosphate', '(6R)-10-Formyltetrahydropteroyldiglutamate']</t>
  </si>
  <si>
    <t>['Dihydrolipoamide', 'NAD+']</t>
  </si>
  <si>
    <t>['Lipoamide', 'NADH']</t>
  </si>
  <si>
    <t>['Pyruvate', 'Enzyme N6-(lipoyl)lysine']</t>
  </si>
  <si>
    <t>['[Dihydrolipoyllysine-residue acetyltransferase] S-acetyldihydrolipoyllysine']</t>
  </si>
  <si>
    <t>['3-Methyl-2-oxobutanoic acid', 'Enzyme N6-(lipoyl)lysine']</t>
  </si>
  <si>
    <t>['[Dihydrolipoyllysine-residue (2-methylpropanoyl)transferase] S-(2-methylpropanoyl)dihydrolipoyllysine']</t>
  </si>
  <si>
    <t>['4-Methyl-2-oxopentanoate', 'Enzyme N6-(lipoyl)lysine']</t>
  </si>
  <si>
    <t>['[Dihydrolipoyllysine-residue (2-methylpropanoyl)transferase] S-(3-methylbutanoyl)dihydrolipoyllysine']</t>
  </si>
  <si>
    <t>['5-O-(1-Carboxyvinyl)-3-phosphoshikimate']</t>
  </si>
  <si>
    <t>['Chorismate', 'Orthophosphate']</t>
  </si>
  <si>
    <t>['Nicotinate D-ribonucleotide', 'Diphosphate', 'ADP', 'Orthophosphate']</t>
  </si>
  <si>
    <t>['Nicotinate', '5-Phospho-alpha-D-ribose 1-diphosphate', 'ATP']</t>
  </si>
  <si>
    <t>["Orotidine 5'-phosphate", 'Diphosphate']</t>
  </si>
  <si>
    <t>['Orotate', '5-Phospho-alpha-D-ribose 1-diphosphate']</t>
  </si>
  <si>
    <t>['Cytidine']</t>
  </si>
  <si>
    <t>['Uridine', 'Ammonia']</t>
  </si>
  <si>
    <t>['(S)-Dihydroorotate']</t>
  </si>
  <si>
    <t>['N-Carbamoyl-L-aspartate']</t>
  </si>
  <si>
    <t>['Thioredoxin', 'NADP+']</t>
  </si>
  <si>
    <t>['Thioredoxin disulfide', 'NADPH']</t>
  </si>
  <si>
    <t>['(R)-Mevalonate', 'CoA', '2 NAD+']</t>
  </si>
  <si>
    <t>['(S)-3-Hydroxy-3-methylglutaryl-CoA', '2 NADH', '2 H+']</t>
  </si>
  <si>
    <t>['Dihydrofolate', 'NADP+']</t>
  </si>
  <si>
    <t>['Folate', 'NADPH']</t>
  </si>
  <si>
    <t>['Nucleoside triphosphate', 'Pyruvate']</t>
  </si>
  <si>
    <t>['NDP', 'Phosphoenolpyruvate']</t>
  </si>
  <si>
    <t>['ATP', 'Itaconate', 'CoA']</t>
  </si>
  <si>
    <t>['ADP', 'Orthophosphate', 'Itaconyl-CoA']</t>
  </si>
  <si>
    <t>['ATP', 'Shikimate']</t>
  </si>
  <si>
    <t>['ADP', 'Shikimate 3-phosphate']</t>
  </si>
  <si>
    <t>['Shikimate', 'NADP+']</t>
  </si>
  <si>
    <t>['3-Dehydroshikimate', 'NADPH']</t>
  </si>
  <si>
    <t>['Deoxycytidine']</t>
  </si>
  <si>
    <t>['Deoxyuridine', 'Ammonia']</t>
  </si>
  <si>
    <t>['ATP', 'D-Alanine', 'Poly(ribitol phosphate)']</t>
  </si>
  <si>
    <t>['AMP', 'Diphosphate', 'O-D-Alanyl-poly(ribitol phosphate)']</t>
  </si>
  <si>
    <t>['beta-D-Glucose 6-phosphate', 'NADP+']</t>
  </si>
  <si>
    <t>['2,3-Dehydroacyl-CoA', '1-Acyl-sn-glycerol 3-phosphate']</t>
  </si>
  <si>
    <t>['CoA', 'Phosphatidate']</t>
  </si>
  <si>
    <t>['(3R)-3-Hydroxyacyl-[acyl-carrier protein]', 'NADP+']</t>
  </si>
  <si>
    <t>['3-Oxoacyl-[acyl-carrier protein]', 'NADPH']</t>
  </si>
  <si>
    <t>['Acyl-[acyl-carrier protein]', 'Malonyl-[acyl-carrier protein]']</t>
  </si>
  <si>
    <t>['3-Oxoacyl-[acyl-carrier protein]', 'Acyl-carrier protein']</t>
  </si>
  <si>
    <t>['ATP', 'UDP-N-acetylmuramoyl-L-alanine', 'D-Glutamate']</t>
  </si>
  <si>
    <t>['ADP', 'Orthophosphate', 'UDP-N-acetylmuramoyl-L-alanyl-D-glutamate']</t>
  </si>
  <si>
    <t>['ATP', 'UDP-N-acetylmuramoyl-L-alanyl-D-glutamate', 'meso-2,6-Diaminoheptanedioate']</t>
  </si>
  <si>
    <t>['ADP', 'Orthophosphate', 'UDP-N-acetylmuramoyl-L-alanyl-gamma-D-glutamyl-meso-2,6-diaminopimelate']</t>
  </si>
  <si>
    <t>['ATP', 'L-Tyrosine', 'tRNA(Tyr)']</t>
  </si>
  <si>
    <t>['AMP', 'Diphosphate', 'L-Tyrosyl-tRNA(Tyr)']</t>
  </si>
  <si>
    <t>['ATP', 'Pantetheine']</t>
  </si>
  <si>
    <t>['ADP', "Pantetheine 4'-phosphate"]</t>
  </si>
  <si>
    <t>['ATP', 'Pantothenate']</t>
  </si>
  <si>
    <t>['ADP', "D-4'-Phosphopantothenate"]</t>
  </si>
  <si>
    <t>['tRNA uridine']</t>
  </si>
  <si>
    <t>['tRNA pseudouridine']</t>
  </si>
  <si>
    <t>['ATP', "Pantetheine 4'-phosphate"]</t>
  </si>
  <si>
    <t>['Diphosphate', 'Dephospho-CoA']</t>
  </si>
  <si>
    <t>['ATP', 'L-Alanine', 'tRNA(Ala)']</t>
  </si>
  <si>
    <t>['AMP', 'Diphosphate', 'L-Alanyl-tRNA']</t>
  </si>
  <si>
    <t>['6-(Hydroxymethyl)-7,8-dihydropterin', '4-Aminobenzoate']</t>
  </si>
  <si>
    <t>['Dihydropteroate']</t>
  </si>
  <si>
    <t>['6-Hydroxymethyl-7,8-dihydropterin diphosphate', '4-Aminobenzoate']</t>
  </si>
  <si>
    <t>['Diphosphate', 'Dihydropteroate']</t>
  </si>
  <si>
    <t>['2-Dehydro-3-deoxy-D-arabino-heptonate 7-phosphate']</t>
  </si>
  <si>
    <t>['3-Dehydroquinate', 'Orthophosphate']</t>
  </si>
  <si>
    <t>['3-Dehydroquinate']</t>
  </si>
  <si>
    <t>['3-Dehydroshikimate']</t>
  </si>
  <si>
    <t>['Hydroxymethylbilane']</t>
  </si>
  <si>
    <t>['Uroporphyrinogen III']</t>
  </si>
  <si>
    <t>['UDP-N-acetylmuramate', 'NAD+']</t>
  </si>
  <si>
    <t>['UDP-N-acetyl-3-(1-carboxyvinyl)-D-glucosamine', 'NADH']</t>
  </si>
  <si>
    <t>['UDP-N-acetylmuramate', 'NADP+']</t>
  </si>
  <si>
    <t>['UDP-N-acetyl-3-(1-carboxyvinyl)-D-glucosamine', 'NADPH']</t>
  </si>
  <si>
    <t>['ATP', 'UDP-N-acetylmuramate', 'L-Alanine']</t>
  </si>
  <si>
    <t>['ADP', 'Orthophosphate', 'UDP-N-acetylmuramoyl-L-alanine']</t>
  </si>
  <si>
    <t>['Coproporphyrinogen III', '4 CO2']</t>
  </si>
  <si>
    <t>['D-Tagatose 6-phosphate', 'ATP']</t>
  </si>
  <si>
    <t>['D-Tagatose 1,6-bisphosphate', 'ADP']</t>
  </si>
  <si>
    <t>['CTP', 'D-Tagatose 6-phosphate']</t>
  </si>
  <si>
    <t>['CDP', 'D-Tagatose 1,6-bisphosphate']</t>
  </si>
  <si>
    <t>['UTP', 'D-Tagatose 6-phosphate']</t>
  </si>
  <si>
    <t>['UDP', 'D-Tagatose 1,6-bisphosphate']</t>
  </si>
  <si>
    <t>['ITP', 'D-Tagatose 6-phosphate']</t>
  </si>
  <si>
    <t>['IDP', 'D-Tagatose 1,6-bisphosphate']</t>
  </si>
  <si>
    <t>['ATP', '(R)-5-Phosphomevalonate']</t>
  </si>
  <si>
    <t>['ADP', '(R)-5-Diphosphomevalonate']</t>
  </si>
  <si>
    <t>['alpha-D-Hexose 1-phosphate']</t>
  </si>
  <si>
    <t>['alpha-D-Hexose 6-phosphate']</t>
  </si>
  <si>
    <t>['Phosphoenolpyruvate', 'Shikimate 3-phosphate']</t>
  </si>
  <si>
    <t>['Orthophosphate', '5-O-(1-Carboxyvinyl)-3-phosphoshikimate']</t>
  </si>
  <si>
    <t>['ATP', '6-(Hydroxymethyl)-7,8-dihydropterin']</t>
  </si>
  <si>
    <t>['AMP', '6-Hydroxymethyl-7,8-dihydropterin diphosphate']</t>
  </si>
  <si>
    <t>['7,8-Dihydroneopterin']</t>
  </si>
  <si>
    <t>['Glycolaldehyde', '6-(Hydroxymethyl)-7,8-dihydropterin']</t>
  </si>
  <si>
    <t>['ATP', 'Protamine']</t>
  </si>
  <si>
    <t>['ADP', 'O-Phosphoprotamine']</t>
  </si>
  <si>
    <t>['ATP', 'L-Arginine', 'tRNA(Arg)']</t>
  </si>
  <si>
    <t>['AMP', 'Diphosphate', 'L-Arginyl-tRNA(Arg)']</t>
  </si>
  <si>
    <t>['ATP', 'L-Cysteine', 'tRNA(Cys)']</t>
  </si>
  <si>
    <t>['AMP', 'Diphosphate', 'L-Cysteinyl-tRNA(Cys)']</t>
  </si>
  <si>
    <t>['ATP', 'Glycine', 'tRNA(Gly)']</t>
  </si>
  <si>
    <t>['AMP', 'Diphosphate', 'Glycyl-tRNA(Gly)']</t>
  </si>
  <si>
    <t>['ATP', 'L-Histidine', 'tRNA(His)']</t>
  </si>
  <si>
    <t>['AMP', 'Diphosphate', 'L-Histidyl-tRNA(His)']</t>
  </si>
  <si>
    <t>['ATP', 'L-Isoleucine', 'tRNA(Ile)']</t>
  </si>
  <si>
    <t>['AMP', 'Diphosphate', 'L-Isoleucyl-tRNA(Ile)']</t>
  </si>
  <si>
    <t>['ATP', 'L-Leucine', 'tRNA(Leu)']</t>
  </si>
  <si>
    <t>['AMP', 'Diphosphate', 'L-Leucyl-tRNA']</t>
  </si>
  <si>
    <t>['ATP', 'L-Lysine', 'tRNA(Lys)']</t>
  </si>
  <si>
    <t>['AMP', 'Diphosphate', 'L-Lysyl-tRNA']</t>
  </si>
  <si>
    <t>['ATP', 'L-Methionine', 'tRNA(Met)']</t>
  </si>
  <si>
    <t>['AMP', 'Diphosphate', 'L-Methionyl-tRNA']</t>
  </si>
  <si>
    <t>['ATP', 'L-Phenylalanine', 'tRNA(Phe)']</t>
  </si>
  <si>
    <t>['AMP', 'Diphosphate', 'L-Phenylalanyl-tRNA(Phe)']</t>
  </si>
  <si>
    <t>['ATP', 'L-Proline', 'tRNA(Pro)']</t>
  </si>
  <si>
    <t>['AMP', 'Diphosphate', 'L-Prolyl-tRNA(Pro)']</t>
  </si>
  <si>
    <t>['ATP', 'L-Serine', 'tRNA(Ser)']</t>
  </si>
  <si>
    <t>['AMP', 'Diphosphate', 'L-Seryl-tRNA(Ser)']</t>
  </si>
  <si>
    <t>['ATP', 'L-Threonine', 'tRNA(Thr)']</t>
  </si>
  <si>
    <t>['AMP', 'Diphosphate', 'L-Threonyl-tRNA(Thr)']</t>
  </si>
  <si>
    <t>['ATP', 'L-Tryptophan', 'tRNA(Trp)']</t>
  </si>
  <si>
    <t>['AMP', 'Diphosphate', 'L-Tryptophanyl-tRNA(Trp)']</t>
  </si>
  <si>
    <t>['ATP', 'L-Valine', 'tRNA(Val)']</t>
  </si>
  <si>
    <t>['AMP', 'Diphosphate', 'L-Valyl-tRNA(Val)']</t>
  </si>
  <si>
    <t>['2-Succinylbenzoyl-CoA']</t>
  </si>
  <si>
    <t>['1,4-Dihydroxy-2-naphthoate', 'CoA']</t>
  </si>
  <si>
    <t>['3-Phospho-D-erythronate']</t>
  </si>
  <si>
    <t>['Phosphoenol-4-deoxy-3-tetrulosonate']</t>
  </si>
  <si>
    <t>['(S)-3-Methyl-2-oxopentanoic acid', 'Enzyme N6-(lipoyl)lysine']</t>
  </si>
  <si>
    <t>['[Dihydrolipoyllysine-residue (2-methylpropanoyl)transferase] S-(2-methylbutanoyl)dihydrolipoyllysine']</t>
  </si>
  <si>
    <t>['N-Substituted aminoacyl-tRNA']</t>
  </si>
  <si>
    <t>['N-Substituted amino acid', 'tRNA']</t>
  </si>
  <si>
    <t>['N-Formyl-L-methionylaminoacyl-tRNA']</t>
  </si>
  <si>
    <t>['Formate', 'L-Methionylaminoacyl-tRNA']</t>
  </si>
  <si>
    <t>["2'-Deoxyribonucleoside diphosphate", 'Thioredoxin disulfide']</t>
  </si>
  <si>
    <t>['Ribonucleoside diphosphate', 'Thioredoxin']</t>
  </si>
  <si>
    <t>['Acetyl-CoA', 'Ribosomal-protein L-alanine']</t>
  </si>
  <si>
    <t>['CoA', 'Ribosomal-protein N-acetyl-L-alanine']</t>
  </si>
  <si>
    <t>['Acetyl-[acyl-carrier protein]', 'Malonyl-[acyl-carrier protein]']</t>
  </si>
  <si>
    <t>['Acetoacetyl-[acp]', 'Acyl-carrier protein']</t>
  </si>
  <si>
    <t>['ATP', 'N-((R)-Pantothenoyl)-L-cysteine']</t>
  </si>
  <si>
    <t>['ADP', "(R)-4'-Phosphopantothenoyl-L-cysteine"]</t>
  </si>
  <si>
    <t>['Butyryl-[acp]', 'NADP+']</t>
  </si>
  <si>
    <t>['But-2-enoyl-[acyl-carrier protein]', 'NADPH']</t>
  </si>
  <si>
    <t>['(3R)-3-Hydroxybutanoyl-[acyl-carrier protein]', 'NADP+']</t>
  </si>
  <si>
    <t>['Acetoacetyl-[acp]', 'NADPH']</t>
  </si>
  <si>
    <t>['(3R)-3-Hydroxydecanoyl-[acyl-carrier protein],', 'NADP+']</t>
  </si>
  <si>
    <t>['3-Oxodecanoyl-[acp],', 'NADPH']</t>
  </si>
  <si>
    <t>['(3R)-3-Hydroxyoctanoyl-[acyl-carrier protein]', 'NADP+']</t>
  </si>
  <si>
    <t>['3-Oxooctanoyl-[acp]', 'NADPH']</t>
  </si>
  <si>
    <t>['(3R)-3-Hydroxypalmitoyl-[acyl-carrier protein]', 'NADP+']</t>
  </si>
  <si>
    <t>['3-Oxohexadecanoyl-[acp]', 'NADPH']</t>
  </si>
  <si>
    <t>['ATP', 'Biotin', 'Apo-[acetyl-CoA:carbon-dioxide ligase (ADP-forming)],']</t>
  </si>
  <si>
    <t>['AMP', 'Diphosphate', '[Acetyl-CoA:carbon-dioxide ligase (ADP-forming)],']</t>
  </si>
  <si>
    <t>['(3R)-3-Hydroxytetradecanoyl-[acyl-carrier protein]', 'NADP+']</t>
  </si>
  <si>
    <t>['3-Oxotetradecanoyl-[acp]', 'NADPH']</t>
  </si>
  <si>
    <t>['Dodecanoyl-[acyl-carrier protein]', 'NADP+']</t>
  </si>
  <si>
    <t>['trans-Dodec-2-enoyl-[acp]', 'NADPH']</t>
  </si>
  <si>
    <t>['Dodecanoyl-[acyl-carrier protein]', 'Malonyl-[acyl-carrier protein]']</t>
  </si>
  <si>
    <t>['3-Oxotetradecanoyl-[acp]', 'Acyl-carrier protein']</t>
  </si>
  <si>
    <t>['ATP', 'L-Selenomethionine']</t>
  </si>
  <si>
    <t>['Orthophosphate', 'Diphosphate', 'Se-Adenosylselenomethionine']</t>
  </si>
  <si>
    <t>['ATP', 'L-Selenomethionine', 'tRNA(Met)']</t>
  </si>
  <si>
    <t>['AMP', 'Diphosphate', 'Selenomethionyl-tRNA(Met)']</t>
  </si>
  <si>
    <t>['Butyryl-[acp]', 'Malonyl-[acyl-carrier protein]']</t>
  </si>
  <si>
    <t>['3-Oxohexanoyl-[acp]', 'Acyl-carrier protein']</t>
  </si>
  <si>
    <t>['(3R)-3-Hydroxyhexanoyl-[acyl-carrier protein]', 'NADP+']</t>
  </si>
  <si>
    <t>['3-Oxohexanoyl-[acp]', 'NADPH']</t>
  </si>
  <si>
    <t>['Hexanoyl-[acp]', 'NADP+']</t>
  </si>
  <si>
    <t>['trans-Hex-2-enoyl-[acp]', 'NADPH']</t>
  </si>
  <si>
    <t>['Hexanoyl-[acp]', 'Malonyl-[acyl-carrier protein]']</t>
  </si>
  <si>
    <t>['3-Oxooctanoyl-[acp]', 'Acyl-carrier protein']</t>
  </si>
  <si>
    <t>['Octanoyl-[acp]', 'NADP+']</t>
  </si>
  <si>
    <t>['trans-Oct-2-enoyl-[acp]', 'NADPH']</t>
  </si>
  <si>
    <t>['Octanoyl-[acp]', 'Malonyl-[acyl-carrier protein]']</t>
  </si>
  <si>
    <t>['3-Oxodecanoyl-[acp]', 'Acyl-carrier protein']</t>
  </si>
  <si>
    <t>['Decanoyl-[acp]', 'NADP+']</t>
  </si>
  <si>
    <t>['trans-Dec-2-enoyl-[acp]', 'NADPH']</t>
  </si>
  <si>
    <t>['Decanoyl-[acp]', 'Malonyl-[acyl-carrier protein]']</t>
  </si>
  <si>
    <t>['3-Oxododecanoyl-[acp]', 'Acyl-carrier protein']</t>
  </si>
  <si>
    <t>['(3R)-3-Hydroxydodecanoyl-[acyl-carrier protein]', 'NADP+']</t>
  </si>
  <si>
    <t>['3-Oxododecanoyl-[acp]', 'NADPH']</t>
  </si>
  <si>
    <t>['Tetradecanoyl-[acp]', 'NADP+']</t>
  </si>
  <si>
    <t>['trans-Tetradec-2-enoyl-[acp]', 'NADPH']</t>
  </si>
  <si>
    <t>['Tetradecanoyl-[acp]', 'Malonyl-[acyl-carrier protein]']</t>
  </si>
  <si>
    <t>['3-Oxohexadecanoyl-[acp]', 'Acyl-carrier protein']</t>
  </si>
  <si>
    <t>['Hexadecanoyl-[acp]', 'NADP+']</t>
  </si>
  <si>
    <t>['trans-Hexadec-2-enoyl-[acp]', 'NADPH']</t>
  </si>
  <si>
    <t>['Uroporphyrinogen I']</t>
  </si>
  <si>
    <t>['Coproporphyrinogen I', '4 CO2']</t>
  </si>
  <si>
    <t>['Undecaprenyl-diphospho-N-acetylmuramoyl-L-alanyl-D-glutamyl-meso-2,6-diaminopimeloyl-D-alanyl-D-alanine', 'UDP-N-acetyl-alpha-D-glucosamine']</t>
  </si>
  <si>
    <t>['Undecaprenyl-diphospho-N-acetylmuramoyl-(N-acetylglucosamine)-L-alanyl-D-glutamyl-meso-2,6-diaminopimeloyl-D-alanyl-D-alanine', 'UDP']</t>
  </si>
  <si>
    <t>["Biotinyl-5'-AMP", 'Apo-[carboxylase],']</t>
  </si>
  <si>
    <t>['AMP', 'Holo-[carboxylase],']</t>
  </si>
  <si>
    <t>['n-1 ATP', '(6R)-10-Formyltetrahydropteroyldiglutamate', 'n-1 L-Glutamate']</t>
  </si>
  <si>
    <t>['n-1 ADP', 'n-1 Orthophosphate', '10-Formyltetrahydrofolylpolyglutamate']</t>
  </si>
  <si>
    <t>['tRNA(Asp)', 'L-Aspartate', 'ATP']</t>
  </si>
  <si>
    <t>['L-Aspartyl-tRNA(Asp)', 'Diphosphate', 'AMP']</t>
  </si>
  <si>
    <t>['tRNA(Glu)', 'L-Glutamate', 'ATP']</t>
  </si>
  <si>
    <t>['L-Glutamyl-tRNA(Glu)', 'Diphosphate', 'AMP']</t>
  </si>
  <si>
    <t>['UDPMurNAc(oyl-L-Ala-D-gamma-Glu-L-Lys-D-Ala-D-Ala)', 'di-trans,poly-cis-Undecaprenyl phosphate']</t>
  </si>
  <si>
    <t>['UMP', 'MurAc(oyl-L-Ala-D-gamma-Glu-L-Lys-D-Ala-D-Ala)-diphospho-undecaprenol']</t>
  </si>
  <si>
    <t>['UDP-N-acetylmuramoyl-L-alanyl-D-glutamyl-6-carboxy-L-lysyl-D-alanyl-D-alanine', 'di-trans,poly-cis-Undecaprenyl phosphate']</t>
  </si>
  <si>
    <t>['UMP', 'Undecaprenyl-diphospho-N-acetylmuramoyl-L-alanyl-D-glutamyl-meso-2,6-diaminopimeloyl-D-alanyl-D-alanine']</t>
  </si>
  <si>
    <t>['2-C-Methyl-D-erythritol 4-phosphate', 'CTP']</t>
  </si>
  <si>
    <t>["4-(Cytidine 5'-diphospho)-2-C-methyl-D-erythritol", 'Diphosphate']</t>
  </si>
  <si>
    <t>['Formyl-L-methionyl peptide']</t>
  </si>
  <si>
    <t>['Methionyl peptide', 'Formate']</t>
  </si>
  <si>
    <t>['MurAc(oyl-L-Ala-D-gamma-Glu-L-Lys-D-Ala-D-Ala)-diphospho-undecaprenol', 'UDP-N-acetyl-alpha-D-glucosamine']</t>
  </si>
  <si>
    <t>['Undecaprenyl-diphospho-N-acetylmuramoyl-(N-acetylglucosamine)-L-alanyl-gamma-D-glutamyl-L-lysyl-D-alanyl-D-alanine', 'UDP']</t>
  </si>
  <si>
    <t>['G10551', 'UDP-N-acetyl-D-glucosamine']</t>
  </si>
  <si>
    <t>['G10550', 'UDP']</t>
  </si>
  <si>
    <t>['G10552', 'UDP-N-acetyl-D-glucosamine']</t>
  </si>
  <si>
    <t>['G10553', 'UDP']</t>
  </si>
  <si>
    <t>['G10556', 'UDP-N-acetyl-D-glucosamine']</t>
  </si>
  <si>
    <t>['G10555', 'UDP']</t>
  </si>
  <si>
    <t>['trans,trans-Farnesyl diphosphate', '8 Isopentenyl diphosphate']</t>
  </si>
  <si>
    <t>['di-trans,poly-cis-Undecaprenyl diphosphate', '8 Diphosphate']</t>
  </si>
  <si>
    <t>['D-Xylulose 5-phosphate', 'Thiamin diphosphate']</t>
  </si>
  <si>
    <t>['alpha,beta-Dihydroxyethyl-TPP', 'D-Glyceraldehyde 3-phosphate']</t>
  </si>
  <si>
    <t>['Sedoheptulose 7-phosphate', 'Thiamin diphosphate']</t>
  </si>
  <si>
    <t>['alpha,beta-Dihydroxyethyl-TPP', 'D-Ribose 5-phosphate']</t>
  </si>
  <si>
    <t>['1,4-Dihydroxy-2-naphthoyl-CoA']</t>
  </si>
  <si>
    <t>['3-Methyl-2-oxobutanoic acid', 'Thiamin diphosphate']</t>
  </si>
  <si>
    <t>['2-Methyl-1-hydroxypropyl-ThPP']</t>
  </si>
  <si>
    <t>['2-Methyl-1-hydroxypropyl-ThPP', 'Enzyme N6-(lipoyl)lysine']</t>
  </si>
  <si>
    <t>['[Dihydrolipoyllysine-residue (2-methylpropanoyl)transferase], S-(2-methylpropanoyl)dihydrolipoyllysine', 'Thiamin diphosphate']</t>
  </si>
  <si>
    <t>['4-Methyl-2-oxopentanoate', 'Thiamin diphosphate']</t>
  </si>
  <si>
    <t>['3-Methyl-1-hydroxybutyl-ThPP']</t>
  </si>
  <si>
    <t>['3-Methyl-1-hydroxybutyl-ThPP', 'Enzyme N6-(lipoyl)lysine']</t>
  </si>
  <si>
    <t>['[Dihydrolipoyllysine-residue (2-methylpropanoyl)transferase], S-(3-methylbutanoyl)dihydrolipoyllysine', 'Thiamin diphosphate']</t>
  </si>
  <si>
    <t>['(S)-3-Methyl-2-oxopentanoic acid', 'Thiamin diphosphate']</t>
  </si>
  <si>
    <t>['2-Methyl-1-hydroxybutyl-ThPP']</t>
  </si>
  <si>
    <t>['2-Methyl-1-hydroxybutyl-ThPP', 'Enzyme N6-(lipoyl)lysine']</t>
  </si>
  <si>
    <t>['[Dihydrolipoyllysine-residue (2-methylpropanoyl)transferase], S-(2-methylbutanoyl)dihydrolipoyllysine', 'Thiamin diphosphate']</t>
  </si>
  <si>
    <t>['2 ATP', 'HCO3-', 'Ammonia']</t>
  </si>
  <si>
    <t>['2 ADP', 'Orthophosphate', 'Carbamoyl phosphate']</t>
  </si>
  <si>
    <t>['Hexadecanoyl-[acp]', 'Malonyl-[acyl-carrier protein]']</t>
  </si>
  <si>
    <t>['3-Oxostearoyl-[acp]', 'Acyl-carrier protein']</t>
  </si>
  <si>
    <t>['3-Oxostearoyl-[acp]', 'NADPH']</t>
  </si>
  <si>
    <t>['(3R)-3-Hydroxyoctadecanoyl-[acyl-carrier protein]', 'NADP+']</t>
  </si>
  <si>
    <t>['ATP', 'L-Serine', 'tRNA(Sec)']</t>
  </si>
  <si>
    <t>['AMP', 'Diphosphate', 'L-Seryl-tRNA(Sec)']</t>
  </si>
  <si>
    <t>["5'-Deoxy-5-fluorocytidine"]</t>
  </si>
  <si>
    <t>["5'-Deoxy-5-fluorouridine", 'Ammonia']</t>
  </si>
  <si>
    <t>['5-FU', '5-Phospho-alpha-D-ribose 1-diphosphate']</t>
  </si>
  <si>
    <t>['5-Fluorouridine monophosphate', 'Diphosphate']</t>
  </si>
  <si>
    <t>["6-Thioinosine-5'-monophosphate", 'NAD+']</t>
  </si>
  <si>
    <t>["6-Thioxanthine 5'-monophosphate", 'NADH']</t>
  </si>
  <si>
    <t>["6-Thioxanthine 5'-monophosphate", 'ATP', 'L-Glutamine']</t>
  </si>
  <si>
    <t>['6-Thioguanosine monophosphate', 'AMP', 'Diphosphate', 'L-Glutamate']</t>
  </si>
  <si>
    <t>['[Protein]-N6-[(R)-dihydrolipoyl]-L-lysine', 'NAD+']</t>
  </si>
  <si>
    <t>['Protein N6-(lipoyl)lysine', 'NADH']</t>
  </si>
  <si>
    <t>['Acyl-[acyl-carrier protein],', '1-Acyl-sn-glycerol 3-phosphate']</t>
  </si>
  <si>
    <t>['Acyl-carrier protein', 'Phosphatidate']</t>
  </si>
  <si>
    <t>['Malonyl-[acp] methyl ester', 'Malonyl-[acyl-carrier protein]']</t>
  </si>
  <si>
    <t>['3-Ketoglutaryl-[acp] methyl ester', 'Acyl-carrier protein']</t>
  </si>
  <si>
    <t>['3-Ketoglutaryl-[acp] methyl ester', 'NADPH']</t>
  </si>
  <si>
    <t>['3-Hydroxyglutaryl-[acp] methyl ester', 'NADP+']</t>
  </si>
  <si>
    <t>['Enoylglutaryl-[acp] methyl ester', 'NADPH']</t>
  </si>
  <si>
    <t>['Glutaryl-[acp] methyl ester', 'NADP+']</t>
  </si>
  <si>
    <t>['Glutaryl-[acp] methyl ester', 'Malonyl-[acyl-carrier protein]']</t>
  </si>
  <si>
    <t>['3-Ketopimeloyl-[acp] methyl ester', 'Acyl-carrier protein']</t>
  </si>
  <si>
    <t>['3-Ketopimeloyl-[acp] methyl ester', 'NADPH']</t>
  </si>
  <si>
    <t>['3-Hydroxypimeloyl-[acp] methyl ester', 'NADP+']</t>
  </si>
  <si>
    <t>['Enoylpimeloyl-[acp] methyl ester', 'NADPH']</t>
  </si>
  <si>
    <t>['Pimeloyl-[acyl-carrier protein] methyl ester', 'NADP+']</t>
  </si>
  <si>
    <t>['n Nucleoside triphosphate']</t>
  </si>
  <si>
    <t>["5'-Triphospho-[mRNA],(n)", '(n-1) Diphosphate']</t>
  </si>
  <si>
    <t>['ATP', 'HCO3-']</t>
  </si>
  <si>
    <t>['ADP', 'Carboxyphosphate']</t>
  </si>
  <si>
    <t>['Ammonia', 'Carboxyphosphate']</t>
  </si>
  <si>
    <t>['Carbamate', 'Orthophosphate']</t>
  </si>
  <si>
    <t>['2-Oxobutanoate', 'Thiamin diphosphate']</t>
  </si>
  <si>
    <t>['2-(alpha-Hydroxypropyl)thiamine diphosphate']</t>
  </si>
  <si>
    <t>['2-(alpha-Hydroxypropyl)thiamine diphosphate', 'Enzyme N6-(lipoyl)lysine']</t>
  </si>
  <si>
    <t>['Enzyme N6-(S-propyldihydrolipoyl)lysine', 'Thiamin diphosphate']</t>
  </si>
  <si>
    <t>["2'-Deoxy-5-hydroxymethylcytidine-5'-triphosphate"]</t>
  </si>
  <si>
    <t>['5-Hydroxymethylcytosine in DNA']</t>
  </si>
  <si>
    <t>['Tetrahydrobiopterin', 'NADP+']</t>
  </si>
  <si>
    <t>['7,8-Dihydrobiopterin', 'NADPH']</t>
  </si>
  <si>
    <t>['ATP', '5-Fluorouridine monophosphate']</t>
  </si>
  <si>
    <t>['ADP', '5-Fluorouridine diphosphate']</t>
  </si>
  <si>
    <t>['ATP', '5-Fluorodeoxyuridine monophosphate']</t>
  </si>
  <si>
    <t>['ADP', '5-Fluorodeoxyuridine diphosphate']</t>
  </si>
  <si>
    <t>['Ubiquinone', 'NADH', '4 H+']</t>
  </si>
  <si>
    <t>['Ubiquinol', 'NAD+', '4 H+']</t>
  </si>
  <si>
    <t>['ATP', 'D-Alanine', 'G13185']</t>
  </si>
  <si>
    <t>['AMP', 'Diphosphate', 'G13186']</t>
  </si>
  <si>
    <t>['dZMP', 'ATP']</t>
  </si>
  <si>
    <t>['dZDP', 'ADP']</t>
  </si>
  <si>
    <t>['ATP', 'D-Alanine', 'alpha-Glycosylated WTA']</t>
  </si>
  <si>
    <t>['AMP', 'Diphosphate', 'G13180']</t>
  </si>
  <si>
    <t>['ATP', 'D-Alanine', 'beta-Glycosylated WTA']</t>
  </si>
  <si>
    <t>['AMP', 'Diphosphate', 'G13171']</t>
  </si>
  <si>
    <t>['ATP', 'D-Alanine', 'alpha-O-GlcNAcylated WTA']</t>
  </si>
  <si>
    <t>['AMP', 'Diphosphate', 'G13175']</t>
  </si>
  <si>
    <t>['ATP', 'D-Alanine', 'beta-O-GlcNAcylated WTA']</t>
  </si>
  <si>
    <t>['AMP', 'Diphosphate', 'G13177']</t>
  </si>
  <si>
    <t>['ATP', 'D-Alanine', 'G13178']</t>
  </si>
  <si>
    <t>['AMP', 'Diphosphate', 'G13179']</t>
  </si>
  <si>
    <t>['3-Dehydroshikimate', 'NADP+']</t>
  </si>
  <si>
    <t>['3,5-Dehydroshikimate', 'NADPH']</t>
  </si>
  <si>
    <t>['ATP', 'D-Alanine', 'G13192']</t>
  </si>
  <si>
    <t>['AMP', 'Diphosphate', 'G13193']</t>
  </si>
  <si>
    <t>['Phosphoprotein']</t>
  </si>
  <si>
    <t>['Protein', 'Orthophosphate']</t>
  </si>
  <si>
    <t>["Adenosine 3,5'-bisphosphate"]</t>
  </si>
  <si>
    <t>['AMP', 'Orthophosphate']</t>
  </si>
  <si>
    <t>['UDP-N-acetyl-alpha-D-glucosamine']</t>
  </si>
  <si>
    <t>['UDP-N-acetyl-D-galactosamine']</t>
  </si>
  <si>
    <t>['S-Adenosyl-L-methionine', 'tRNA guanine']</t>
  </si>
  <si>
    <t>['S-Adenosyl-L-homocysteine', 'tRNA containing N1-methylguanine']</t>
  </si>
  <si>
    <t>['2-Hydroxybutanoic acid', 'NAD+']</t>
  </si>
  <si>
    <t>['2-Oxobutanoate', 'NADH']</t>
  </si>
  <si>
    <t>['Thiamin monophosphate']</t>
  </si>
  <si>
    <t>['Thiamine', 'Orthophosphate']</t>
  </si>
  <si>
    <t>['2,3-Dehydroacyl-CoA', 'sn-Glycerol 3-phosphate']</t>
  </si>
  <si>
    <t>['CoA', '1-Acyl-sn-glycerol 3-phosphate']</t>
  </si>
  <si>
    <t>['Phosphoenolpyruvate', 'Protein histidine']</t>
  </si>
  <si>
    <t>['Pyruvate', 'Protein N(pi)-phospho-L-histidine']</t>
  </si>
  <si>
    <t>['dTDP-glucose']</t>
  </si>
  <si>
    <t>['dTDP-galactose']</t>
  </si>
  <si>
    <t>['3-Mercaptolactate', 'NAD+']</t>
  </si>
  <si>
    <t>['Mercaptopyruvate', 'NADH']</t>
  </si>
  <si>
    <t>['ATP', 'L-Asparagine', 'tRNA(Asn)']</t>
  </si>
  <si>
    <t>['AMP', 'Diphosphate', 'L-Asparaginyl-tRNA(Asn)']</t>
  </si>
  <si>
    <t>['N-D-Ribosylpurine', 'Orthophosphate']</t>
  </si>
  <si>
    <t>['Purine', 'alpha-D-Ribose 1-phosphate']</t>
  </si>
  <si>
    <t>['tRNA uridine', '[Enzyme]-S-sulfanylcysteine', 'ATP']</t>
  </si>
  <si>
    <t>['tRNA containing 2-thiouridine', '[Enzyme]-cysteine', 'AMP', 'Diphosphate']</t>
  </si>
  <si>
    <t>['Acyl-[acyl-carrier protein]', 'sn-Glycerol 3-phosphate']</t>
  </si>
  <si>
    <t>['1-Acyl-sn-glycerol 3-phosphate', 'Acyl-carrier protein']</t>
  </si>
  <si>
    <t>['[tRNA(Ile2)]-cytidine34', 'L-Lysine', 'ATP']</t>
  </si>
  <si>
    <t>['[tRNA(Ile2)]-lysidine34', 'AMP', 'Diphosphate']</t>
  </si>
  <si>
    <t>['Purine deoxyribonucleoside', 'Orthophosphate']</t>
  </si>
  <si>
    <t>['Purine', '2-Deoxy-D-ribose 1-phosphate']</t>
  </si>
  <si>
    <t>['L-Threonylcarbamoyladenylate', 'tRNA adenine']</t>
  </si>
  <si>
    <t>['AMP', 'N6-L-Threonylcarbamoyladenine in tRNA']</t>
  </si>
  <si>
    <t>['2 S-Adenosyl-L-methionine', 'Adenine in rRNA']</t>
  </si>
  <si>
    <t>['2 S-Adenosyl-L-homocysteine', 'N6-Dimethyladenine in rRNA']</t>
  </si>
  <si>
    <t>['Anthranilate', 'N,N-Dimethyl-1,4-phenylenediamine', '2 NAD+']</t>
  </si>
  <si>
    <t>['Methyl red', '2 NADH', '2 H+']</t>
  </si>
  <si>
    <t>['Acyl-[acyl-carrier protein]', 'Orthophosphate']</t>
  </si>
  <si>
    <t>['Acyl phosphate', 'Acyl-carrier protein']</t>
  </si>
  <si>
    <t>['UDP-L-arabinose']</t>
  </si>
  <si>
    <t>['UDP-L-arabinofuranose']</t>
  </si>
  <si>
    <t>['ATP', '(R)-Lipoate', '[Lipoyl-carrier protein]-L-lysine']</t>
  </si>
  <si>
    <t>['Protein N6-(lipoyl)lysine', 'AMP', 'Diphosphate']</t>
  </si>
  <si>
    <t>['ATP', '(R)-Lipoate', 'Glycine cleavage system H']</t>
  </si>
  <si>
    <t>['Lipoylprotein', 'AMP', 'Diphosphate']</t>
  </si>
  <si>
    <t>['ATP', '(R)-Lipoate', 'Lipoyl-carrier protein E2']</t>
  </si>
  <si>
    <t>['Enzyme N6-(lipoyl)lysine', 'AMP', 'Diphosphate']</t>
  </si>
  <si>
    <t>['ATP', '(R)-Lipoate']</t>
  </si>
  <si>
    <t>['Diphosphate', 'Lipoyl-AMP']</t>
  </si>
  <si>
    <t>['Lipoyl-AMP', '[Lipoyl-carrier protein]-L-lysine']</t>
  </si>
  <si>
    <t>['Protein N6-(lipoyl)lysine', 'AMP']</t>
  </si>
  <si>
    <t>['ATP', 'Octanoic acid', 'Lipoyl-carrier protein E2']</t>
  </si>
  <si>
    <t>['[Lipoyl-carrier protein E2]-N6-octanoyl-L-lysine', 'AMP', 'Diphosphate']</t>
  </si>
  <si>
    <t>['2 NADH', '2 H+', 'Oxygen']</t>
  </si>
  <si>
    <t>['2 NAD+', '2 H2O']</t>
  </si>
  <si>
    <t>['Succinyl-CoA', 'Enzyme N6-(dihydrolipoyl)lysine']</t>
  </si>
  <si>
    <t>['CoA', '[Dihydrolipoyllysine-residue succinyltransferase], S-succinyldihydrolipoyllysine']</t>
  </si>
  <si>
    <t>['Glutaryl-CoA', 'Enzyme N6-(dihydrolipoyl)lysine']</t>
  </si>
  <si>
    <t>['CoA', '[Dihydrolipoyllysine-residue succinyltransferase], S-glutaryldihydrolipoyllysine']</t>
  </si>
  <si>
    <t>['S-Adenosyl-L-homocysteine', 'tRNA containing N7-methylguanine']</t>
  </si>
  <si>
    <t>['L-Cysteine', "'Activated' tRNA"]</t>
  </si>
  <si>
    <t>['L-Serine', 'tRNA containing a thionucleotide']</t>
  </si>
  <si>
    <t>['[Enzyme]-S-sulfanylcysteine', 'Adenylyl-[sulfur-carrier protein]', 'Reduced acceptor']</t>
  </si>
  <si>
    <t>['AMP', 'Thiocarboxy-[sulfur-carrier protein]', '[Enzyme]-cysteine', 'Acceptor']</t>
  </si>
  <si>
    <t>['ATP', 'Cytidine']</t>
  </si>
  <si>
    <t>['ADP', 'CMP']</t>
  </si>
  <si>
    <t>['ATP', 'Uridine']</t>
  </si>
  <si>
    <t>['ADP', 'UMP']</t>
  </si>
  <si>
    <t>['GTP', 'Cytidine']</t>
  </si>
  <si>
    <t>['GDP', 'CMP']</t>
  </si>
  <si>
    <t>['GTP', 'Uridine']</t>
  </si>
  <si>
    <t>['GDP', 'UMP']</t>
  </si>
  <si>
    <t>['5-Fluorouridine', 'ATP']</t>
  </si>
  <si>
    <t>['5-Fluorouridine monophosphate', 'ADP']</t>
  </si>
  <si>
    <t>['Peptide-L-methionine', 'Thioredoxin disulfide']</t>
  </si>
  <si>
    <t>['Peptide-L-methionine (R)-S-oxide', 'Thioredoxin']</t>
  </si>
  <si>
    <t>['2-Oxoglutarate', 'Enzyme N6-(lipoyl)lysine']</t>
  </si>
  <si>
    <t>['[Dihydrolipoyllysine-residue succinyltransferase] S-succinyldihydrolipoyllysine']</t>
  </si>
  <si>
    <t>['2-Oxoglutarate', 'Thiamin diphosphate']</t>
  </si>
  <si>
    <t>['3-Carboxy-1-hydroxypropyl-ThPP']</t>
  </si>
  <si>
    <t>['3-Carboxy-1-hydroxypropyl-ThPP', 'Enzyme N6-(lipoyl)lysine']</t>
  </si>
  <si>
    <t>['[Dihydrolipoyllysine-residue succinyltransferase], S-succinyldihydrolipoyllysine', 'Thiamin diphosphate']</t>
  </si>
  <si>
    <t>['Acyl-carrier protein']</t>
  </si>
  <si>
    <t>["Pantetheine 4'-phosphate", 'Apo-[acyl-carrier-protein]']</t>
  </si>
  <si>
    <t>['ATP', 'Choline']</t>
  </si>
  <si>
    <t>['ADP', 'Choline phosphate']</t>
  </si>
  <si>
    <t>['ATP', 'Ethanolamine']</t>
  </si>
  <si>
    <t>['ADP', 'Ethanolamine phosphate']</t>
  </si>
  <si>
    <t>['Peptide-L-methionine (S)-S-oxide', 'Thioredoxin']</t>
  </si>
  <si>
    <t>['Peptidylproline (omega=180)']</t>
  </si>
  <si>
    <t>['Peptidylproline (omega=0)']</t>
  </si>
  <si>
    <t>['L-Methionine', 'Thioredoxin disulfide']</t>
  </si>
  <si>
    <t>['L-Methionine (S)-S-oxide', 'Thioredoxin']</t>
  </si>
  <si>
    <t>Shared by G,M,P:
intersection</t>
  </si>
  <si>
    <t>Shared by all 4:
intersection</t>
  </si>
  <si>
    <t xml:space="preserve">Uniq to A
</t>
  </si>
  <si>
    <t>Shared by all 4</t>
  </si>
  <si>
    <t>Uniq to J</t>
  </si>
  <si>
    <t>Shared by all</t>
  </si>
  <si>
    <t>Shared by G,P:</t>
  </si>
  <si>
    <t>Shared by A, G,P:</t>
  </si>
  <si>
    <t>Side 1</t>
  </si>
  <si>
    <t>Side 2</t>
  </si>
  <si>
    <t>Shared by A,G,P</t>
  </si>
  <si>
    <t>More information about a specific reaction set:</t>
  </si>
  <si>
    <t/>
  </si>
  <si>
    <t>Shared by A,G,P,J</t>
  </si>
  <si>
    <t>Shared by J,G,P,A</t>
  </si>
  <si>
    <t>Count</t>
  </si>
  <si>
    <t>Percentage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</si>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</sst>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/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2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1" fillId="3" borderId="0" xfId="0" applyFont="1" applyFill="1"/>
    <xf numFmtId="0" fontId="1" fillId="0" borderId="0" xfId="0" applyFont="1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wrapText="1"/>
    </xf>
    <xf numFmtId="0" fontId="0" fillId="0" borderId="0" xfId="0" quotePrefix="1"/>
    <xf numFmtId="0" fontId="1" fillId="3" borderId="0" xfId="0" applyFont="1" applyFill="1" applyAlignment="1">
      <alignment horizontal="center"/>
    </xf>
    <xf numFmtId="0" fontId="0" fillId="0" borderId="3" xfId="0" applyBorder="1"/>
    <xf numFmtId="164" fontId="0" fillId="0" borderId="0" xfId="1" applyNumberFormat="1" applyFont="1" applyAlignment="1">
      <alignment vertical="center" wrapText="1"/>
    </xf>
    <xf numFmtId="0" fontId="0" fillId="0" borderId="0" xfId="0" applyAlignment="1">
      <alignment horizontal="center"/>
    </xf>
  </cellXfs>
  <cellStyles count="2">
    <cellStyle name="Normal" xfId="0" builtinId="0"/>
    <cellStyle name="Percent" xfId="1" builtinId="5"/>
  </cellStyles>
  <dxfs count="52">
    <dxf>
      <font>
        <color theme="0"/>
      </font>
      <fill>
        <patternFill>
          <bgColor theme="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/>
        <right style="thin">
          <color theme="9"/>
        </right>
        <top style="thin">
          <color theme="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9"/>
        </top>
        <bottom/>
        <vertical/>
        <horizontal/>
      </border>
    </dxf>
    <dxf>
      <border outline="0">
        <bottom style="thin">
          <color theme="9"/>
        </bottom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%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/>
        <right style="thin">
          <color theme="9"/>
        </right>
        <top style="thin">
          <color theme="9"/>
        </top>
        <bottom/>
        <vertical/>
        <horizontal/>
      </border>
    </dxf>
    <dxf>
      <numFmt numFmtId="0" formatCode="General"/>
    </dxf>
    <dxf>
      <numFmt numFmtId="0" formatCode="General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%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/>
        <right style="thin">
          <color theme="9"/>
        </right>
        <top style="thin">
          <color theme="9"/>
        </top>
        <bottom/>
        <vertical/>
        <horizontal/>
      </border>
    </dxf>
    <dxf>
      <numFmt numFmtId="0" formatCode="General"/>
    </dxf>
    <dxf>
      <numFmt numFmtId="0" formatCode="General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%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/>
        <right style="thin">
          <color theme="9"/>
        </right>
        <top style="thin">
          <color theme="9"/>
        </top>
        <bottom/>
        <vertical/>
        <horizontal/>
      </border>
    </dxf>
    <dxf>
      <numFmt numFmtId="0" formatCode="General"/>
    </dxf>
    <dxf>
      <numFmt numFmtId="0" formatCode="General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%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 outline="0">
        <left/>
        <right style="thin">
          <color theme="9"/>
        </right>
        <top style="thin">
          <color theme="9"/>
        </top>
        <bottom/>
      </border>
    </dxf>
    <dxf>
      <numFmt numFmtId="0" formatCode="General"/>
    </dxf>
    <dxf>
      <numFmt numFmtId="0" formatCode="General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%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/>
        <right style="thin">
          <color theme="9"/>
        </right>
        <top style="thin">
          <color theme="9"/>
        </top>
        <bottom/>
        <vertical/>
        <horizontal/>
      </border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powerPivotData" Target="model/item.data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45D4DAE8-927D-4CD8-9AA0-D1A4588FE1C9}" autoFormatId="16" applyNumberFormats="0" applyBorderFormats="0" applyFontFormats="0" applyPatternFormats="0" applyAlignmentFormats="0" applyWidthHeightFormats="0">
  <queryTableRefresh nextId="4">
    <queryTableFields count="3">
      <queryTableField id="1" name="ID" tableColumnId="1"/>
      <queryTableField id="2" name="Substrates" tableColumnId="2"/>
      <queryTableField id="3" name="Products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90CC24D-674B-4C49-88AF-4F4B0979403F}" autoFormatId="16" applyNumberFormats="0" applyBorderFormats="0" applyFontFormats="0" applyPatternFormats="0" applyAlignmentFormats="0" applyWidthHeightFormats="0">
  <queryTableRefresh nextId="4">
    <queryTableFields count="3">
      <queryTableField id="1" name="ID" tableColumnId="1"/>
      <queryTableField id="2" name="Substrates" tableColumnId="2"/>
      <queryTableField id="3" name="Products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97063954-1EC5-4D8F-98AA-B5CDBED696E5}" autoFormatId="16" applyNumberFormats="0" applyBorderFormats="0" applyFontFormats="0" applyPatternFormats="0" applyAlignmentFormats="0" applyWidthHeightFormats="0">
  <queryTableRefresh nextId="4">
    <queryTableFields count="3">
      <queryTableField id="1" name="ID" tableColumnId="1"/>
      <queryTableField id="2" name="Substrates" tableColumnId="2"/>
      <queryTableField id="3" name="Products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1859FF86-0A51-4D7A-B35B-EB56E1C5F254}" autoFormatId="16" applyNumberFormats="0" applyBorderFormats="0" applyFontFormats="0" applyPatternFormats="0" applyAlignmentFormats="0" applyWidthHeightFormats="0">
  <queryTableRefresh nextId="4">
    <queryTableFields count="3">
      <queryTableField id="1" name="ID" tableColumnId="1"/>
      <queryTableField id="2" name="Substrates" tableColumnId="2"/>
      <queryTableField id="3" name="Products" tableColumnId="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C1B445EB-5DD1-4461-96F5-7139482CB200}" autoFormatId="16" applyNumberFormats="0" applyBorderFormats="0" applyFontFormats="0" applyPatternFormats="0" applyAlignmentFormats="0" applyWidthHeightFormats="0">
  <queryTableRefresh nextId="4">
    <queryTableFields count="3">
      <queryTableField id="1" name="ID" tableColumnId="1"/>
      <queryTableField id="2" name="Substrates" tableColumnId="2"/>
      <queryTableField id="3" name="Products" tableColumnId="3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4FAC95A-622F-4A4F-B92D-200EBD8FBD21}" name="JCVI_ec" displayName="JCVI_ec" ref="A1:C88" totalsRowShown="0">
  <autoFilter ref="A1:C88" xr:uid="{B4FAC95A-622F-4A4F-B92D-200EBD8FBD21}"/>
  <sortState xmlns:xlrd2="http://schemas.microsoft.com/office/spreadsheetml/2017/richdata2" ref="A2:C88">
    <sortCondition ref="B1:B88"/>
  </sortState>
  <tableColumns count="3">
    <tableColumn id="1" xr3:uid="{4182DEE6-668A-4E09-AA77-1744C118276F}" name="ID" dataDxfId="51"/>
    <tableColumn id="2" xr3:uid="{8A8CAC9E-A19E-45AC-A194-A6D7E506807F}" name="EC" dataDxfId="50"/>
    <tableColumn id="3" xr3:uid="{B3F88DD6-E3EB-4813-BCA3-89F6A917926F}" name="Module" dataDxfId="49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5087E797-2421-41ED-BE04-CE6867A6426E}" name="JCVI_rxns" displayName="JCVI_rxns" ref="E1:G169" tableType="queryTable" totalsRowShown="0">
  <autoFilter ref="E1:G169" xr:uid="{5087E797-2421-41ED-BE04-CE6867A6426E}"/>
  <sortState xmlns:xlrd2="http://schemas.microsoft.com/office/spreadsheetml/2017/richdata2" ref="E2:G169">
    <sortCondition ref="G1:G169"/>
  </sortState>
  <tableColumns count="3">
    <tableColumn id="1" xr3:uid="{F929FFAA-32E2-4479-9130-568650090C12}" uniqueName="1" name="ID" queryTableFieldId="1"/>
    <tableColumn id="2" xr3:uid="{5E924F52-9072-41AB-90A2-FBE0DF0F948C}" uniqueName="2" name="Substrates" queryTableFieldId="2" dataDxfId="48"/>
    <tableColumn id="3" xr3:uid="{50275514-34E7-4829-92C2-E7E70317C94E}" uniqueName="3" name="Products" queryTableFieldId="3" dataDxfId="47"/>
  </tableColumns>
  <tableStyleInfo name="TableStyleLight1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F7356F4-7A0B-49B0-A5D2-02C5CE03ACF0}" name="Table1" displayName="Table1" ref="I1:K9" totalsRowShown="0">
  <autoFilter ref="I1:K9" xr:uid="{9F7356F4-7A0B-49B0-A5D2-02C5CE03ACF0}"/>
  <tableColumns count="3">
    <tableColumn id="1" xr3:uid="{8A611AEB-F46D-4951-95C8-1E50E4811E11}" name="Module" dataDxfId="46"/>
    <tableColumn id="2" xr3:uid="{AC34BA1B-4ECD-48C0-B448-D96D4E0CD95D}" name="Count" dataDxfId="45"/>
    <tableColumn id="3" xr3:uid="{23140EE2-D44E-4D6F-85AE-F7513FDB8FD2}" name="Percentage" dataDxfId="44" dataCellStyle="Percent">
      <calculatedColumnFormula>J2/$J$9</calculatedColumnFormula>
    </tableColumn>
  </tableColumns>
  <tableStyleInfo name="TableStyleLight1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2DD256D7-5497-45F4-A581-A97EDF63CD91}" name="Aureus_ec" displayName="Aureus_ec" ref="A1:C127" totalsRowShown="0" dataDxfId="43">
  <autoFilter ref="A1:C127" xr:uid="{2DD256D7-5497-45F4-A581-A97EDF63CD91}"/>
  <sortState xmlns:xlrd2="http://schemas.microsoft.com/office/spreadsheetml/2017/richdata2" ref="A2:C127">
    <sortCondition ref="B1:B127"/>
  </sortState>
  <tableColumns count="3">
    <tableColumn id="1" xr3:uid="{7457F56B-196D-4463-828D-3C6A28F13E75}" name="ID" dataDxfId="42"/>
    <tableColumn id="2" xr3:uid="{12BA59E4-E306-4F9B-81F3-CF4D23FABCE5}" name="EC" dataDxfId="41"/>
    <tableColumn id="3" xr3:uid="{51812C2B-0792-446C-A236-A48CEC870F10}" name="Module" dataDxfId="40"/>
  </tableColumns>
  <tableStyleInfo name="TableStyleLight1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2347F175-B613-4DFB-A30D-1157867CD13E}" name="Aureus_rxns" displayName="Aureus_rxns" ref="E1:G294" tableType="queryTable" totalsRowShown="0">
  <autoFilter ref="E1:G294" xr:uid="{2347F175-B613-4DFB-A30D-1157867CD13E}"/>
  <sortState xmlns:xlrd2="http://schemas.microsoft.com/office/spreadsheetml/2017/richdata2" ref="E2:G294">
    <sortCondition ref="E1:E294"/>
  </sortState>
  <tableColumns count="3">
    <tableColumn id="1" xr3:uid="{00645CAD-C8FC-4855-BCD5-9241EB1E9053}" uniqueName="1" name="ID" queryTableFieldId="1"/>
    <tableColumn id="2" xr3:uid="{5918A7DD-613E-4EF3-B43D-C46ADDAF9F7E}" uniqueName="2" name="Substrates" queryTableFieldId="2" dataDxfId="39"/>
    <tableColumn id="3" xr3:uid="{8C18B752-EC67-4B5A-915A-B1D4730D1A3D}" uniqueName="3" name="Products" queryTableFieldId="3" dataDxfId="38"/>
  </tableColumns>
  <tableStyleInfo name="TableStyleLight10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A16463C-6359-4735-A55D-F427AE57B628}" name="Table13" displayName="Table13" ref="I1:K9" totalsRowShown="0">
  <autoFilter ref="I1:K9" xr:uid="{4A16463C-6359-4735-A55D-F427AE57B628}"/>
  <tableColumns count="3">
    <tableColumn id="1" xr3:uid="{EEAE6B74-16DF-416B-A923-96D1D0DC729C}" name="Module" dataDxfId="37"/>
    <tableColumn id="2" xr3:uid="{38F05787-25E7-415C-987C-FE31620B5BED}" name="Count" dataDxfId="36">
      <calculatedColumnFormula>COUNTIF(Aureus_ec[Module],Table13[[#This Row],[Module]])</calculatedColumnFormula>
    </tableColumn>
    <tableColumn id="3" xr3:uid="{FD3F4218-8C7D-4AEF-82AA-3239AFE29567}" name="Percentage" dataDxfId="35" dataCellStyle="Percent">
      <calculatedColumnFormula>J2/$J$10</calculatedColumnFormula>
    </tableColumn>
  </tableColumns>
  <tableStyleInfo name="TableStyleLight13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D60A3C2-0D2B-4514-B83E-9743FF27553D}" name="Pneumoniae_ec" displayName="Pneumoniae_ec" ref="A1:C76" totalsRowShown="0" dataDxfId="34">
  <autoFilter ref="A1:C76" xr:uid="{8D60A3C2-0D2B-4514-B83E-9743FF27553D}"/>
  <sortState xmlns:xlrd2="http://schemas.microsoft.com/office/spreadsheetml/2017/richdata2" ref="A2:C76">
    <sortCondition ref="B1:B76"/>
  </sortState>
  <tableColumns count="3">
    <tableColumn id="1" xr3:uid="{EE6AE48D-AB87-448B-BCFB-87A6B3CD4D9F}" name="ID" dataDxfId="33"/>
    <tableColumn id="2" xr3:uid="{23290247-7F12-4A53-B3F3-5EAD934C7A32}" name="EC" dataDxfId="32"/>
    <tableColumn id="3" xr3:uid="{52BBA32D-E881-465B-959E-1BC547D0D363}" name="Module" dataDxfId="31"/>
  </tableColumns>
  <tableStyleInfo name="TableStyleLight14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3B877FBB-8831-4E1F-B9C7-67F6B8E78602}" name="Pneumoniae_rxns" displayName="Pneumoniae_rxns" ref="E1:G159" tableType="queryTable" totalsRowShown="0">
  <autoFilter ref="E1:G159" xr:uid="{3B877FBB-8831-4E1F-B9C7-67F6B8E78602}"/>
  <sortState xmlns:xlrd2="http://schemas.microsoft.com/office/spreadsheetml/2017/richdata2" ref="E2:G159">
    <sortCondition ref="E1:E159"/>
  </sortState>
  <tableColumns count="3">
    <tableColumn id="1" xr3:uid="{15FB4424-423E-48A2-B424-791DB37639B8}" uniqueName="1" name="ID" queryTableFieldId="1"/>
    <tableColumn id="2" xr3:uid="{C13C3634-8F11-47E4-B5AA-60242973D0C0}" uniqueName="2" name="Substrates" queryTableFieldId="2" dataDxfId="30"/>
    <tableColumn id="3" xr3:uid="{E4A07DEB-BF57-4DD4-AAF9-333C72F91AE9}" uniqueName="3" name="Products" queryTableFieldId="3" dataDxfId="29"/>
  </tableColumns>
  <tableStyleInfo name="TableStyleLight10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D4BED22-25B1-4120-B18B-CF652BDCB28E}" name="Table14" displayName="Table14" ref="I1:K9" totalsRowShown="0">
  <autoFilter ref="I1:K9" xr:uid="{5D4BED22-25B1-4120-B18B-CF652BDCB28E}"/>
  <tableColumns count="3">
    <tableColumn id="1" xr3:uid="{DD37C4B6-D52A-4029-BC89-952EB552BF6E}" name="Module" dataDxfId="28"/>
    <tableColumn id="2" xr3:uid="{168E16D6-40B6-489E-AD98-EBCE18306CD4}" name="Count" dataDxfId="27"/>
    <tableColumn id="3" xr3:uid="{D0771AB1-6DAF-46DE-8836-588F547CE37B}" name="Percentage" dataDxfId="26" dataCellStyle="Percent">
      <calculatedColumnFormula>J2/$J$9</calculatedColumnFormula>
    </tableColumn>
  </tableColumns>
  <tableStyleInfo name="TableStyleLight13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8405CC5A-DA72-4F3A-AB08-49E17E8CE3B1}" name="Genitalium_ec" displayName="Genitalium_ec" ref="A1:C93" totalsRowShown="0" dataDxfId="25">
  <autoFilter ref="A1:C93" xr:uid="{8405CC5A-DA72-4F3A-AB08-49E17E8CE3B1}"/>
  <sortState xmlns:xlrd2="http://schemas.microsoft.com/office/spreadsheetml/2017/richdata2" ref="A2:C93">
    <sortCondition ref="B1:B93"/>
  </sortState>
  <tableColumns count="3">
    <tableColumn id="1" xr3:uid="{15CEEB3C-F013-4BAE-B619-39D617560888}" name="ID" dataDxfId="24"/>
    <tableColumn id="2" xr3:uid="{FBB8E8B8-4694-43D4-ADFA-6CC56C2A8B02}" name="EC" dataDxfId="23"/>
    <tableColumn id="3" xr3:uid="{A3FB12E8-9E96-474F-944A-F03E70AD7D83}" name="Module" dataDxfId="22"/>
  </tableColumns>
  <tableStyleInfo name="TableStyleLight14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112CE99C-FA1C-4C3F-B19A-7E4CEB5227FE}" name="Genitalium_rxns" displayName="Genitalium_rxns" ref="E1:G205" tableType="queryTable" totalsRowShown="0">
  <autoFilter ref="E1:G205" xr:uid="{112CE99C-FA1C-4C3F-B19A-7E4CEB5227FE}"/>
  <sortState xmlns:xlrd2="http://schemas.microsoft.com/office/spreadsheetml/2017/richdata2" ref="E2:G205">
    <sortCondition ref="E1:E205"/>
  </sortState>
  <tableColumns count="3">
    <tableColumn id="1" xr3:uid="{86788AA7-1F46-49A1-A197-A790A9F4B393}" uniqueName="1" name="ID" queryTableFieldId="1"/>
    <tableColumn id="2" xr3:uid="{EC1C3239-97DF-435C-AB06-398DBA7C7BBE}" uniqueName="2" name="Substrates" queryTableFieldId="2" dataDxfId="21"/>
    <tableColumn id="3" xr3:uid="{70A91DCF-5AE4-467F-8DCD-C6B025BD5286}" uniqueName="3" name="Products" queryTableFieldId="3" dataDxfId="20"/>
  </tableColumns>
  <tableStyleInfo name="TableStyleLight10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C105657-E0F0-4C54-8CA2-743110B6188C}" name="Table15" displayName="Table15" ref="I1:K9" totalsRowShown="0">
  <autoFilter ref="I1:K9" xr:uid="{7C105657-E0F0-4C54-8CA2-743110B6188C}"/>
  <tableColumns count="3">
    <tableColumn id="1" xr3:uid="{A4F06397-16C1-45D5-9C9C-69076468BDA4}" name="Module" dataDxfId="19"/>
    <tableColumn id="2" xr3:uid="{36357558-FA47-4585-A5B7-C390204B6332}" name="Count" dataDxfId="18"/>
    <tableColumn id="3" xr3:uid="{A91AE095-6D92-457C-AAD9-D15BC0D4227F}" name="Percentage" dataDxfId="17" dataCellStyle="Percent">
      <calculatedColumnFormula>J2/$J$9</calculatedColumnFormula>
    </tableColumn>
  </tableColumns>
  <tableStyleInfo name="TableStyleLight13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F71AE9F4-9FE9-4703-AB74-DA3B94AC7688}" name="Minesweeper_ec" displayName="Minesweeper_ec" ref="A1:C74" totalsRowShown="0" dataDxfId="16">
  <autoFilter ref="A1:C74" xr:uid="{F71AE9F4-9FE9-4703-AB74-DA3B94AC7688}"/>
  <sortState xmlns:xlrd2="http://schemas.microsoft.com/office/spreadsheetml/2017/richdata2" ref="A2:C74">
    <sortCondition ref="C1:C74"/>
  </sortState>
  <tableColumns count="3">
    <tableColumn id="1" xr3:uid="{2B2742E2-8401-4751-90CC-2D8F73DDD5E4}" name="ID" dataDxfId="15"/>
    <tableColumn id="2" xr3:uid="{2041888B-346F-435D-8C47-25FF9747DD96}" name="EC" dataDxfId="14"/>
    <tableColumn id="3" xr3:uid="{DCD1B708-FC35-4C36-9E36-2236161171F9}" name="Module" dataDxfId="13"/>
  </tableColumns>
  <tableStyleInfo name="TableStyleLight14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AF87AFFE-EDD9-4587-B799-E13F822DB855}" name="Minesweeper_rxns" displayName="Minesweeper_rxns" ref="E1:G149" tableType="queryTable" totalsRowShown="0">
  <autoFilter ref="E1:G149" xr:uid="{AF87AFFE-EDD9-4587-B799-E13F822DB855}"/>
  <sortState xmlns:xlrd2="http://schemas.microsoft.com/office/spreadsheetml/2017/richdata2" ref="E2:G149">
    <sortCondition ref="E1:E149"/>
  </sortState>
  <tableColumns count="3">
    <tableColumn id="1" xr3:uid="{D5BA57F3-41E6-4E92-B2AB-2812CE787975}" uniqueName="1" name="ID" queryTableFieldId="1"/>
    <tableColumn id="2" xr3:uid="{70CB9195-F53B-4030-A7B0-6EE10B83638D}" uniqueName="2" name="Substrates" queryTableFieldId="2" dataDxfId="12"/>
    <tableColumn id="3" xr3:uid="{B26B3E45-B93A-4FE0-99BB-74995AAB6FCD}" uniqueName="3" name="Products" queryTableFieldId="3" dataDxfId="11"/>
  </tableColumns>
  <tableStyleInfo name="TableStyleLight10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2110FED-8142-4437-8991-7161F44C3B2E}" name="Table18" displayName="Table18" ref="I1:K9" totalsRowShown="0">
  <autoFilter ref="I1:K9" xr:uid="{12110FED-8142-4437-8991-7161F44C3B2E}"/>
  <tableColumns count="3">
    <tableColumn id="1" xr3:uid="{74C1D50A-5D06-41E2-B95A-66C52C6DA8E9}" name="Module" dataDxfId="10"/>
    <tableColumn id="2" xr3:uid="{1B22CE41-08D8-4E31-B6B5-0EAE16680C15}" name="Count" dataDxfId="9"/>
    <tableColumn id="3" xr3:uid="{2736DE60-C458-4D47-963D-6D0619A9ABD8}" name="Percentage" dataDxfId="8" dataCellStyle="Percent">
      <calculatedColumnFormula>J2/$J$9</calculatedColumnFormula>
    </tableColumn>
  </tableColumns>
  <tableStyleInfo name="TableStyleLight13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A929792-86E6-460A-ABB6-DA9030E0587C}" name="EC_comparison" displayName="EC_comparison" ref="A1:J178" totalsRowShown="0">
  <autoFilter ref="A1:J178" xr:uid="{4A929792-86E6-460A-ABB6-DA9030E0587C}"/>
  <tableColumns count="10">
    <tableColumn id="1" xr3:uid="{95A331E1-8D36-4A39-81C6-B5D43AA04FDC}" name="Aureus"/>
    <tableColumn id="2" xr3:uid="{E05748EA-DA35-438B-9D8B-6B787FE6C511}" name="Genitalium"/>
    <tableColumn id="3" xr3:uid="{B2F89239-7423-4EEA-8815-C3EBF90F286A}" name="Minesweeper"/>
    <tableColumn id="4" xr3:uid="{347416E4-9415-43FC-BDCB-BCE25DC21F6E}" name="Pneumoniae"/>
    <tableColumn id="5" xr3:uid="{D127BB38-5A66-47C5-AC5E-4C3D028DB718}" name="Shared by all 4:">
      <calculatedColumnFormula>NOT(OR(ISBLANK(A2),ISBLANK(B2),ISBLANK(C2),ISBLANK(D2)))</calculatedColumnFormula>
    </tableColumn>
    <tableColumn id="6" xr3:uid="{968DE574-4D0C-4FC5-ADB7-28C790C42370}" name="Shared by G,M,P:">
      <calculatedColumnFormula>NOT(OR(ISBLANK(B2),ISBLANK(C2),ISBLANK(D2)))</calculatedColumnFormula>
    </tableColumn>
    <tableColumn id="7" xr3:uid="{B2715921-9086-476E-A2EA-B3C480E12969}" name="Uniq to A" dataDxfId="7">
      <calculatedColumnFormula>AND(NOT(ISBLANK(EC_comparison[[#This Row],[Aureus]])),ISBLANK(EC_comparison[[#This Row],[Genitalium]]),ISBLANK(EC_comparison[[#This Row],[Minesweeper]]),ISBLANK(EC_comparison[[#This Row],[Pneumoniae]]))</calculatedColumnFormula>
    </tableColumn>
    <tableColumn id="8" xr3:uid="{DA97D014-408D-490C-912F-EF1A7A2DB7E2}" name="Uniq to G" dataDxfId="6">
      <calculatedColumnFormula>AND(NOT(ISBLANK(EC_comparison[[#This Row],[Genitalium]])),ISBLANK(EC_comparison[[#This Row],[Aureus]]),ISBLANK(EC_comparison[[#This Row],[Minesweeper]]),ISBLANK(EC_comparison[[#This Row],[Pneumoniae]]))</calculatedColumnFormula>
    </tableColumn>
    <tableColumn id="9" xr3:uid="{B4A5E50A-CE0B-49B0-8DDB-AB8D3FFF3E1E}" name="Uniq to M" dataDxfId="5">
      <calculatedColumnFormula>AND(NOT(ISBLANK(EC_comparison[[#This Row],[Minesweeper]])),ISBLANK(EC_comparison[[#This Row],[Aureus]]),ISBLANK(EC_comparison[[#This Row],[Genitalium]]),ISBLANK(EC_comparison[[#This Row],[Pneumoniae]]))</calculatedColumnFormula>
    </tableColumn>
    <tableColumn id="10" xr3:uid="{41F4D4BD-AEAF-4214-96C5-D587F9A44A77}" name="Uniq to P" dataDxfId="4">
      <calculatedColumnFormula>AND(NOT(ISBLANK(EC_comparison[[#This Row],[Pneumoniae]])),ISBLANK(EC_comparison[[#This Row],[Aureus]]),ISBLANK(EC_comparison[[#This Row],[Genitalium]]),ISBLANK(EC_comparison[[#This Row],[Minesweeper]]))</calculatedColumnFormula>
    </tableColumn>
  </tableColumns>
  <tableStyleInfo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9E3A7887-B86B-44B8-B12A-EC988BEFE08A}" name="Dict" displayName="Dict" ref="AH1:AI206" totalsRowShown="0" tableBorderDxfId="3">
  <autoFilter ref="AH1:AI206" xr:uid="{9E3A7887-B86B-44B8-B12A-EC988BEFE08A}"/>
  <sortState xmlns:xlrd2="http://schemas.microsoft.com/office/spreadsheetml/2017/richdata2" ref="AH2:AI206">
    <sortCondition ref="AH1:AH454"/>
  </sortState>
  <tableColumns count="2">
    <tableColumn id="1" xr3:uid="{0AADDE18-BF4C-48BE-B742-31C0DBE9D48F}" name="EC" dataDxfId="2"/>
    <tableColumn id="2" xr3:uid="{7EBF229F-5B6B-435F-897A-BF9263A6CDD3}" name="Module" dataDxfId="1"/>
  </tableColumns>
  <tableStyleInfo name="TableStyleLight14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A9F942DB-50F5-4980-BEB0-B0DBA7248E90}" name="Rxn_comparison" displayName="Rxn_comparison" ref="A2:I160" totalsRowShown="0">
  <autoFilter ref="A2:I160" xr:uid="{5ABD49F7-67C1-4FC4-A30D-7FD9ADB6378B}"/>
  <sortState xmlns:xlrd2="http://schemas.microsoft.com/office/spreadsheetml/2017/richdata2" ref="A3:I160">
    <sortCondition ref="B2:B160"/>
  </sortState>
  <tableColumns count="9">
    <tableColumn id="1" xr3:uid="{ED0524AA-60C3-4B91-9DF4-C7B8917D25E9}" name="Shared by all"/>
    <tableColumn id="2" xr3:uid="{2CF29DCE-A4D8-40E6-9C81-7F0C1D7E6A39}" name="Shared by all 4"/>
    <tableColumn id="3" xr3:uid="{74EA81AB-35D1-4D2F-944E-0DD286F3C89E}" name="Shared by A,G,P"/>
    <tableColumn id="9" xr3:uid="{682A09B7-2C0F-416B-96ED-97FA69906CE3}" name="Shared by A,G,P,J"/>
    <tableColumn id="8" xr3:uid="{D2BFDCAC-4076-47B5-995A-7EF88F29E2D3}" name="Uniq to J"/>
    <tableColumn id="4" xr3:uid="{7CE37914-55D8-4031-BA9B-98F9A4A367D3}" name="Uniq to A_x000a_"/>
    <tableColumn id="5" xr3:uid="{0BB7C4E7-0E60-415E-8F8E-FC48141D5F1D}" name="Uniq to G"/>
    <tableColumn id="6" xr3:uid="{738E4CDB-6178-4872-87C4-75EC6E6A33FF}" name="Uniq to M"/>
    <tableColumn id="7" xr3:uid="{AFB54DC6-E7BC-4A71-90C3-91A729807CC1}" name="Uniq to P"/>
  </tableColumns>
  <tableStyleInfo name="TableStyleLight10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539E8D03-AF54-4748-B49D-0D17826CA253}" name="Rxn_dict" displayName="Rxn_dict" ref="Q2:S427" totalsRowShown="0">
  <autoFilter ref="Q2:S427" xr:uid="{539E8D03-AF54-4748-B49D-0D17826CA253}"/>
  <sortState xmlns:xlrd2="http://schemas.microsoft.com/office/spreadsheetml/2017/richdata2" ref="Q3:S427">
    <sortCondition ref="Q2:Q427"/>
  </sortState>
  <tableColumns count="3">
    <tableColumn id="1" xr3:uid="{2B9B4176-7924-4C83-8420-004D705FC41F}" name="ID"/>
    <tableColumn id="2" xr3:uid="{6C88E1B6-D13B-41F8-A470-E15A740E33C3}" name="Substrates"/>
    <tableColumn id="3" xr3:uid="{D05CC28B-C747-4E8C-B91E-F766B200761D}" name="Products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2.bin"/><Relationship Id="rId4" Type="http://schemas.openxmlformats.org/officeDocument/2006/relationships/table" Target="../tables/table6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3.bin"/><Relationship Id="rId4" Type="http://schemas.openxmlformats.org/officeDocument/2006/relationships/table" Target="../tables/table9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4.bin"/><Relationship Id="rId4" Type="http://schemas.openxmlformats.org/officeDocument/2006/relationships/table" Target="../tables/table1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.xml"/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5.bin"/><Relationship Id="rId4" Type="http://schemas.openxmlformats.org/officeDocument/2006/relationships/table" Target="../tables/table1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7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9.xml"/><Relationship Id="rId2" Type="http://schemas.openxmlformats.org/officeDocument/2006/relationships/table" Target="../tables/table18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B9E7F-1AFD-4EE7-8B93-C638F11941C0}">
  <dimension ref="A1:L169"/>
  <sheetViews>
    <sheetView topLeftCell="C1" workbookViewId="0">
      <selection activeCell="K9" sqref="I1:K9"/>
    </sheetView>
  </sheetViews>
  <sheetFormatPr defaultRowHeight="15" x14ac:dyDescent="0.25"/>
  <cols>
    <col min="3" max="3" width="34.85546875" bestFit="1" customWidth="1"/>
    <col min="5" max="5" width="6" bestFit="1" customWidth="1"/>
    <col min="6" max="6" width="69.42578125" bestFit="1" customWidth="1"/>
    <col min="7" max="7" width="81.140625" bestFit="1" customWidth="1"/>
    <col min="9" max="9" width="34.85546875" bestFit="1" customWidth="1"/>
    <col min="11" max="11" width="13.140625" customWidth="1"/>
  </cols>
  <sheetData>
    <row r="1" spans="1:12" x14ac:dyDescent="0.25">
      <c r="A1" t="s">
        <v>226</v>
      </c>
      <c r="B1" t="s">
        <v>227</v>
      </c>
      <c r="C1" t="s">
        <v>228</v>
      </c>
      <c r="E1" t="s">
        <v>226</v>
      </c>
      <c r="F1" t="s">
        <v>237</v>
      </c>
      <c r="G1" t="s">
        <v>238</v>
      </c>
      <c r="I1" t="s">
        <v>228</v>
      </c>
      <c r="J1" t="s">
        <v>1063</v>
      </c>
      <c r="K1" t="s">
        <v>1064</v>
      </c>
    </row>
    <row r="2" spans="1:12" x14ac:dyDescent="0.25">
      <c r="A2" s="6">
        <v>36</v>
      </c>
      <c r="B2" s="6" t="s">
        <v>175</v>
      </c>
      <c r="C2" s="7" t="s">
        <v>221</v>
      </c>
      <c r="D2" s="6"/>
      <c r="E2">
        <v>8238</v>
      </c>
      <c r="F2" s="6" t="s">
        <v>291</v>
      </c>
      <c r="G2" s="6" t="s">
        <v>292</v>
      </c>
      <c r="H2" s="6"/>
      <c r="I2" s="9" t="s">
        <v>221</v>
      </c>
      <c r="J2" s="6">
        <f>COUNTIF(JCVI_ec[Module],I2)</f>
        <v>25</v>
      </c>
      <c r="K2" s="19">
        <f t="shared" ref="K2:K9" si="0">J2/$J$9</f>
        <v>0.28735632183908044</v>
      </c>
      <c r="L2" s="6"/>
    </row>
    <row r="3" spans="1:12" x14ac:dyDescent="0.25">
      <c r="A3" s="6">
        <v>78</v>
      </c>
      <c r="B3" s="6" t="s">
        <v>77</v>
      </c>
      <c r="C3" s="7" t="s">
        <v>223</v>
      </c>
      <c r="D3" s="6"/>
      <c r="E3">
        <v>8237</v>
      </c>
      <c r="F3" s="6" t="s">
        <v>289</v>
      </c>
      <c r="G3" s="6" t="s">
        <v>290</v>
      </c>
      <c r="H3" s="6"/>
      <c r="I3" s="9" t="s">
        <v>223</v>
      </c>
      <c r="J3" s="6">
        <f>COUNTIF(JCVI_ec[Module],I3)</f>
        <v>10</v>
      </c>
      <c r="K3" s="19">
        <f t="shared" si="0"/>
        <v>0.11494252873563218</v>
      </c>
      <c r="L3" s="6"/>
    </row>
    <row r="4" spans="1:12" x14ac:dyDescent="0.25">
      <c r="A4" s="6">
        <v>54</v>
      </c>
      <c r="B4" s="6" t="s">
        <v>24</v>
      </c>
      <c r="C4" s="7" t="s">
        <v>225</v>
      </c>
      <c r="D4" s="6"/>
      <c r="E4">
        <v>1625</v>
      </c>
      <c r="F4" s="6" t="s">
        <v>369</v>
      </c>
      <c r="G4" s="6" t="s">
        <v>370</v>
      </c>
      <c r="H4" s="6"/>
      <c r="I4" s="9" t="s">
        <v>225</v>
      </c>
      <c r="J4" s="6">
        <f>COUNTIF(JCVI_ec[Module],I4)</f>
        <v>25</v>
      </c>
      <c r="K4" s="19">
        <f t="shared" si="0"/>
        <v>0.28735632183908044</v>
      </c>
      <c r="L4" s="6"/>
    </row>
    <row r="5" spans="1:12" x14ac:dyDescent="0.25">
      <c r="A5" s="6">
        <v>65</v>
      </c>
      <c r="B5" s="6" t="s">
        <v>211</v>
      </c>
      <c r="C5" s="7" t="s">
        <v>222</v>
      </c>
      <c r="D5" s="6"/>
      <c r="E5">
        <v>3270</v>
      </c>
      <c r="F5" t="s">
        <v>457</v>
      </c>
      <c r="G5" t="s">
        <v>458</v>
      </c>
      <c r="H5" s="6"/>
      <c r="I5" s="9" t="s">
        <v>222</v>
      </c>
      <c r="J5" s="6">
        <f>COUNTIF(JCVI_ec[Module],I5)</f>
        <v>11</v>
      </c>
      <c r="K5" s="19">
        <f t="shared" si="0"/>
        <v>0.12643678160919541</v>
      </c>
      <c r="L5" s="6"/>
    </row>
    <row r="6" spans="1:12" x14ac:dyDescent="0.25">
      <c r="A6" s="6">
        <v>30</v>
      </c>
      <c r="B6" s="6" t="s">
        <v>201</v>
      </c>
      <c r="C6" s="7" t="s">
        <v>221</v>
      </c>
      <c r="D6" s="6"/>
      <c r="E6">
        <v>2239</v>
      </c>
      <c r="F6" t="s">
        <v>401</v>
      </c>
      <c r="G6" t="s">
        <v>402</v>
      </c>
      <c r="H6" s="6"/>
      <c r="I6" s="9" t="s">
        <v>224</v>
      </c>
      <c r="J6" s="6">
        <f>COUNTIF(JCVI_ec[Module],I6)</f>
        <v>11</v>
      </c>
      <c r="K6" s="19">
        <f t="shared" si="0"/>
        <v>0.12643678160919541</v>
      </c>
      <c r="L6" s="6"/>
    </row>
    <row r="7" spans="1:12" x14ac:dyDescent="0.25">
      <c r="A7" s="6">
        <v>57</v>
      </c>
      <c r="B7" s="6" t="s">
        <v>42</v>
      </c>
      <c r="C7" s="7" t="s">
        <v>221</v>
      </c>
      <c r="D7" s="6"/>
      <c r="E7">
        <v>1655</v>
      </c>
      <c r="F7" s="6" t="s">
        <v>375</v>
      </c>
      <c r="G7" s="6" t="s">
        <v>376</v>
      </c>
      <c r="H7" s="6"/>
      <c r="I7" s="9" t="s">
        <v>219</v>
      </c>
      <c r="J7" s="6">
        <f>COUNTIF(JCVI_ec[Module],I7)</f>
        <v>4</v>
      </c>
      <c r="K7" s="19">
        <f t="shared" si="0"/>
        <v>4.5977011494252873E-2</v>
      </c>
      <c r="L7" s="6"/>
    </row>
    <row r="8" spans="1:12" x14ac:dyDescent="0.25">
      <c r="A8" s="6">
        <v>23</v>
      </c>
      <c r="B8" s="6" t="s">
        <v>71</v>
      </c>
      <c r="C8" s="7" t="s">
        <v>224</v>
      </c>
      <c r="D8" s="6"/>
      <c r="E8">
        <v>2241</v>
      </c>
      <c r="F8" s="6" t="s">
        <v>241</v>
      </c>
      <c r="G8" s="6" t="s">
        <v>242</v>
      </c>
      <c r="H8" s="6"/>
      <c r="I8" s="9" t="s">
        <v>235</v>
      </c>
      <c r="J8" s="6">
        <f>COUNTBLANK(JCVI_ec[Module])</f>
        <v>1</v>
      </c>
      <c r="K8" s="19">
        <f t="shared" si="0"/>
        <v>1.1494252873563218E-2</v>
      </c>
      <c r="L8" s="6"/>
    </row>
    <row r="9" spans="1:12" x14ac:dyDescent="0.25">
      <c r="A9" s="6">
        <v>39</v>
      </c>
      <c r="B9" s="6" t="s">
        <v>203</v>
      </c>
      <c r="C9" s="7" t="s">
        <v>222</v>
      </c>
      <c r="D9" s="6"/>
      <c r="E9">
        <v>851</v>
      </c>
      <c r="F9" s="6" t="s">
        <v>359</v>
      </c>
      <c r="G9" s="6" t="s">
        <v>360</v>
      </c>
      <c r="H9" s="6"/>
      <c r="I9" t="s">
        <v>1065</v>
      </c>
      <c r="J9" s="6">
        <f>SUM(J2:J8)</f>
        <v>87</v>
      </c>
      <c r="K9" s="19">
        <f t="shared" si="0"/>
        <v>1</v>
      </c>
      <c r="L9" s="6"/>
    </row>
    <row r="10" spans="1:12" x14ac:dyDescent="0.25">
      <c r="A10" s="6">
        <v>56</v>
      </c>
      <c r="B10" s="6" t="s">
        <v>43</v>
      </c>
      <c r="C10" s="7" t="s">
        <v>219</v>
      </c>
      <c r="D10" s="6"/>
      <c r="E10">
        <v>4162</v>
      </c>
      <c r="F10" t="s">
        <v>403</v>
      </c>
      <c r="G10" t="s">
        <v>404</v>
      </c>
      <c r="H10" s="6"/>
      <c r="J10" s="6"/>
      <c r="K10" s="6"/>
      <c r="L10" s="6"/>
    </row>
    <row r="11" spans="1:12" x14ac:dyDescent="0.25">
      <c r="A11" s="6">
        <v>79</v>
      </c>
      <c r="B11" s="6" t="s">
        <v>27</v>
      </c>
      <c r="C11" s="7"/>
      <c r="D11" s="6"/>
      <c r="E11">
        <v>127</v>
      </c>
      <c r="F11" s="6" t="s">
        <v>301</v>
      </c>
      <c r="G11" s="6" t="s">
        <v>302</v>
      </c>
      <c r="H11" s="6"/>
      <c r="J11" s="6"/>
      <c r="K11" s="6"/>
      <c r="L11" s="6"/>
    </row>
    <row r="12" spans="1:12" x14ac:dyDescent="0.25">
      <c r="A12" s="6">
        <v>81</v>
      </c>
      <c r="B12" s="6" t="s">
        <v>72</v>
      </c>
      <c r="C12" s="7" t="s">
        <v>225</v>
      </c>
      <c r="D12" s="6"/>
      <c r="E12">
        <v>9372</v>
      </c>
      <c r="F12" t="s">
        <v>510</v>
      </c>
      <c r="G12" t="s">
        <v>511</v>
      </c>
      <c r="H12" s="6"/>
      <c r="J12" s="6"/>
      <c r="K12" s="6"/>
      <c r="L12" s="6"/>
    </row>
    <row r="13" spans="1:12" x14ac:dyDescent="0.25">
      <c r="A13" s="6">
        <v>33</v>
      </c>
      <c r="B13" s="6" t="s">
        <v>159</v>
      </c>
      <c r="C13" s="7" t="s">
        <v>222</v>
      </c>
      <c r="D13" s="6"/>
      <c r="E13">
        <v>14</v>
      </c>
      <c r="F13" t="s">
        <v>455</v>
      </c>
      <c r="G13" t="s">
        <v>456</v>
      </c>
      <c r="H13" s="6"/>
      <c r="J13" s="6"/>
      <c r="K13" s="6"/>
      <c r="L13" s="6"/>
    </row>
    <row r="14" spans="1:12" x14ac:dyDescent="0.25">
      <c r="A14" s="6">
        <v>37</v>
      </c>
      <c r="B14" s="6" t="s">
        <v>57</v>
      </c>
      <c r="C14" s="7" t="s">
        <v>224</v>
      </c>
      <c r="D14" s="6"/>
      <c r="E14">
        <v>2749</v>
      </c>
      <c r="F14" t="s">
        <v>485</v>
      </c>
      <c r="G14" t="s">
        <v>486</v>
      </c>
      <c r="H14" s="6"/>
      <c r="J14" s="6"/>
      <c r="K14" s="6"/>
      <c r="L14" s="6"/>
    </row>
    <row r="15" spans="1:12" x14ac:dyDescent="0.25">
      <c r="A15" s="6">
        <v>68</v>
      </c>
      <c r="B15" s="6" t="s">
        <v>69</v>
      </c>
      <c r="C15" s="7" t="s">
        <v>221</v>
      </c>
      <c r="D15" s="6"/>
      <c r="E15">
        <v>1058</v>
      </c>
      <c r="F15" s="6" t="s">
        <v>355</v>
      </c>
      <c r="G15" s="6" t="s">
        <v>356</v>
      </c>
      <c r="H15" s="6"/>
      <c r="J15" s="6"/>
      <c r="K15" s="6"/>
      <c r="L15" s="6"/>
    </row>
    <row r="16" spans="1:12" x14ac:dyDescent="0.25">
      <c r="A16" s="6">
        <v>82</v>
      </c>
      <c r="B16" s="6" t="s">
        <v>216</v>
      </c>
      <c r="C16" s="7" t="s">
        <v>221</v>
      </c>
      <c r="D16" s="6"/>
      <c r="E16">
        <v>1518</v>
      </c>
      <c r="F16" t="s">
        <v>476</v>
      </c>
      <c r="G16" t="s">
        <v>477</v>
      </c>
      <c r="H16" s="6"/>
      <c r="J16" s="6"/>
      <c r="K16" s="6"/>
      <c r="L16" s="6"/>
    </row>
    <row r="17" spans="1:12" x14ac:dyDescent="0.25">
      <c r="A17" s="6">
        <v>58</v>
      </c>
      <c r="B17" s="6" t="s">
        <v>147</v>
      </c>
      <c r="C17" s="7" t="s">
        <v>221</v>
      </c>
      <c r="D17" s="6"/>
      <c r="E17">
        <v>1061</v>
      </c>
      <c r="F17" t="s">
        <v>479</v>
      </c>
      <c r="G17" t="s">
        <v>480</v>
      </c>
      <c r="H17" s="6"/>
      <c r="J17" s="6"/>
      <c r="K17" s="6"/>
      <c r="L17" s="6"/>
    </row>
    <row r="18" spans="1:12" x14ac:dyDescent="0.25">
      <c r="A18" s="6">
        <v>32</v>
      </c>
      <c r="B18" s="6" t="s">
        <v>144</v>
      </c>
      <c r="C18" s="7" t="s">
        <v>223</v>
      </c>
      <c r="D18" s="6"/>
      <c r="E18">
        <v>1220</v>
      </c>
      <c r="F18" s="6" t="s">
        <v>377</v>
      </c>
      <c r="G18" s="6" t="s">
        <v>378</v>
      </c>
      <c r="H18" s="6"/>
      <c r="J18" s="6"/>
      <c r="K18" s="6"/>
      <c r="L18" s="6"/>
    </row>
    <row r="19" spans="1:12" x14ac:dyDescent="0.25">
      <c r="A19" s="6">
        <v>1</v>
      </c>
      <c r="B19" s="6" t="s">
        <v>101</v>
      </c>
      <c r="C19" s="7" t="s">
        <v>223</v>
      </c>
      <c r="D19" s="6"/>
      <c r="E19">
        <v>9099</v>
      </c>
      <c r="F19" s="6" t="s">
        <v>363</v>
      </c>
      <c r="G19" s="6" t="s">
        <v>364</v>
      </c>
      <c r="H19" s="6"/>
      <c r="J19" s="6"/>
      <c r="K19" s="6"/>
      <c r="L19" s="6"/>
    </row>
    <row r="20" spans="1:12" x14ac:dyDescent="0.25">
      <c r="A20" s="6">
        <v>46</v>
      </c>
      <c r="B20" s="6" t="s">
        <v>19</v>
      </c>
      <c r="C20" s="7" t="s">
        <v>222</v>
      </c>
      <c r="D20" s="6"/>
      <c r="E20">
        <v>4378</v>
      </c>
      <c r="F20" s="6" t="s">
        <v>281</v>
      </c>
      <c r="G20" s="6" t="s">
        <v>282</v>
      </c>
      <c r="H20" s="6"/>
      <c r="J20" s="6"/>
      <c r="K20" s="6"/>
      <c r="L20" s="6"/>
    </row>
    <row r="21" spans="1:12" x14ac:dyDescent="0.25">
      <c r="A21" s="6">
        <v>0</v>
      </c>
      <c r="B21" s="6" t="s">
        <v>186</v>
      </c>
      <c r="C21" s="7" t="s">
        <v>223</v>
      </c>
      <c r="D21" s="6"/>
      <c r="E21">
        <v>8233</v>
      </c>
      <c r="F21" t="s">
        <v>516</v>
      </c>
      <c r="G21" t="s">
        <v>517</v>
      </c>
      <c r="H21" s="6"/>
      <c r="J21" s="6"/>
      <c r="K21" s="6"/>
      <c r="L21" s="6"/>
    </row>
    <row r="22" spans="1:12" x14ac:dyDescent="0.25">
      <c r="A22" s="6">
        <v>51</v>
      </c>
      <c r="B22" s="6" t="s">
        <v>132</v>
      </c>
      <c r="C22" s="7" t="s">
        <v>225</v>
      </c>
      <c r="D22" s="6"/>
      <c r="E22">
        <v>11896</v>
      </c>
      <c r="F22" s="6" t="s">
        <v>341</v>
      </c>
      <c r="G22" s="6" t="s">
        <v>342</v>
      </c>
      <c r="H22" s="6"/>
      <c r="J22" s="6"/>
      <c r="K22" s="6"/>
      <c r="L22" s="6"/>
    </row>
    <row r="23" spans="1:12" x14ac:dyDescent="0.25">
      <c r="A23" s="6">
        <v>44</v>
      </c>
      <c r="B23" s="6" t="s">
        <v>206</v>
      </c>
      <c r="C23" s="7" t="s">
        <v>224</v>
      </c>
      <c r="D23" s="6"/>
      <c r="E23">
        <v>11893</v>
      </c>
      <c r="F23" t="s">
        <v>447</v>
      </c>
      <c r="G23" t="s">
        <v>448</v>
      </c>
      <c r="H23" s="6"/>
      <c r="J23" s="6"/>
      <c r="K23" s="6"/>
      <c r="L23" s="6"/>
    </row>
    <row r="24" spans="1:12" x14ac:dyDescent="0.25">
      <c r="A24" s="6">
        <v>7</v>
      </c>
      <c r="B24" s="6" t="s">
        <v>149</v>
      </c>
      <c r="C24" s="7" t="s">
        <v>225</v>
      </c>
      <c r="D24" s="6"/>
      <c r="E24">
        <v>8245</v>
      </c>
      <c r="F24" s="6" t="s">
        <v>293</v>
      </c>
      <c r="G24" s="6" t="s">
        <v>294</v>
      </c>
      <c r="H24" s="6"/>
      <c r="J24" s="6"/>
      <c r="K24" s="6"/>
      <c r="L24" s="6"/>
    </row>
    <row r="25" spans="1:12" x14ac:dyDescent="0.25">
      <c r="A25" s="6">
        <v>8</v>
      </c>
      <c r="B25" s="6" t="s">
        <v>10</v>
      </c>
      <c r="C25" s="7" t="s">
        <v>225</v>
      </c>
      <c r="D25" s="6"/>
      <c r="E25">
        <v>2557</v>
      </c>
      <c r="F25" t="s">
        <v>268</v>
      </c>
      <c r="G25" t="s">
        <v>420</v>
      </c>
      <c r="H25" s="6"/>
      <c r="J25" s="6"/>
      <c r="K25" s="6"/>
      <c r="L25" s="6"/>
    </row>
    <row r="26" spans="1:12" x14ac:dyDescent="0.25">
      <c r="A26" s="6">
        <v>83</v>
      </c>
      <c r="B26" s="6" t="s">
        <v>128</v>
      </c>
      <c r="C26" s="7" t="s">
        <v>225</v>
      </c>
      <c r="D26" s="6"/>
      <c r="E26">
        <v>190</v>
      </c>
      <c r="F26" s="6" t="s">
        <v>279</v>
      </c>
      <c r="G26" s="6" t="s">
        <v>280</v>
      </c>
      <c r="H26" s="6"/>
      <c r="J26" s="6"/>
      <c r="K26" s="6"/>
      <c r="L26" s="6"/>
    </row>
    <row r="27" spans="1:12" x14ac:dyDescent="0.25">
      <c r="A27" s="6">
        <v>75</v>
      </c>
      <c r="B27" s="6" t="s">
        <v>105</v>
      </c>
      <c r="C27" s="7" t="s">
        <v>219</v>
      </c>
      <c r="D27" s="6"/>
      <c r="E27">
        <v>1561</v>
      </c>
      <c r="F27" t="s">
        <v>246</v>
      </c>
      <c r="G27" t="s">
        <v>415</v>
      </c>
      <c r="H27" s="6"/>
      <c r="J27" s="6"/>
      <c r="K27" s="6"/>
      <c r="L27" s="6"/>
    </row>
    <row r="28" spans="1:12" x14ac:dyDescent="0.25">
      <c r="A28" s="6">
        <v>5</v>
      </c>
      <c r="B28" s="6" t="s">
        <v>100</v>
      </c>
      <c r="C28" s="7" t="s">
        <v>221</v>
      </c>
      <c r="D28" s="6"/>
      <c r="E28">
        <v>192</v>
      </c>
      <c r="F28" t="s">
        <v>537</v>
      </c>
      <c r="G28" t="s">
        <v>538</v>
      </c>
      <c r="H28" s="6"/>
      <c r="J28" s="6"/>
      <c r="K28" s="6"/>
      <c r="L28" s="6"/>
    </row>
    <row r="29" spans="1:12" x14ac:dyDescent="0.25">
      <c r="A29" s="6">
        <v>22</v>
      </c>
      <c r="B29" s="6" t="s">
        <v>197</v>
      </c>
      <c r="C29" s="7" t="s">
        <v>225</v>
      </c>
      <c r="D29" s="6"/>
      <c r="E29">
        <v>183</v>
      </c>
      <c r="F29" s="6" t="s">
        <v>245</v>
      </c>
      <c r="G29" s="6" t="s">
        <v>246</v>
      </c>
      <c r="H29" s="6"/>
      <c r="J29" s="6"/>
      <c r="K29" s="6"/>
      <c r="L29" s="6"/>
    </row>
    <row r="30" spans="1:12" x14ac:dyDescent="0.25">
      <c r="A30" s="6">
        <v>86</v>
      </c>
      <c r="B30" s="6" t="s">
        <v>218</v>
      </c>
      <c r="C30" s="7" t="s">
        <v>221</v>
      </c>
      <c r="D30" s="6"/>
      <c r="E30">
        <v>508</v>
      </c>
      <c r="F30" s="6" t="s">
        <v>243</v>
      </c>
      <c r="G30" s="6" t="s">
        <v>244</v>
      </c>
      <c r="H30" s="6"/>
      <c r="J30" s="6"/>
      <c r="K30" s="6"/>
      <c r="L30" s="6"/>
    </row>
    <row r="31" spans="1:12" x14ac:dyDescent="0.25">
      <c r="A31" s="6">
        <v>80</v>
      </c>
      <c r="B31" s="6" t="s">
        <v>129</v>
      </c>
      <c r="C31" s="7" t="s">
        <v>225</v>
      </c>
      <c r="D31" s="6"/>
      <c r="E31">
        <v>1512</v>
      </c>
      <c r="F31" t="s">
        <v>413</v>
      </c>
      <c r="G31" t="s">
        <v>414</v>
      </c>
      <c r="H31" s="6"/>
      <c r="J31" s="6"/>
      <c r="K31" s="6"/>
      <c r="L31" s="6"/>
    </row>
    <row r="32" spans="1:12" x14ac:dyDescent="0.25">
      <c r="A32" s="6">
        <v>42</v>
      </c>
      <c r="B32" s="6" t="s">
        <v>36</v>
      </c>
      <c r="C32" s="7" t="s">
        <v>224</v>
      </c>
      <c r="D32" s="6"/>
      <c r="E32">
        <v>315</v>
      </c>
      <c r="F32" s="6" t="s">
        <v>275</v>
      </c>
      <c r="G32" s="6" t="s">
        <v>276</v>
      </c>
      <c r="H32" s="6"/>
      <c r="J32" s="6"/>
      <c r="K32" s="6"/>
      <c r="L32" s="6"/>
    </row>
    <row r="33" spans="1:12" x14ac:dyDescent="0.25">
      <c r="A33" s="6">
        <v>53</v>
      </c>
      <c r="B33" s="6" t="s">
        <v>139</v>
      </c>
      <c r="C33" s="7" t="s">
        <v>224</v>
      </c>
      <c r="D33" s="6"/>
      <c r="E33">
        <v>4779</v>
      </c>
      <c r="F33" s="6" t="s">
        <v>271</v>
      </c>
      <c r="G33" s="6" t="s">
        <v>272</v>
      </c>
      <c r="H33" s="6"/>
      <c r="J33" s="6"/>
      <c r="K33" s="6"/>
      <c r="L33" s="6"/>
    </row>
    <row r="34" spans="1:12" x14ac:dyDescent="0.25">
      <c r="A34" s="6">
        <v>31</v>
      </c>
      <c r="B34" s="6" t="s">
        <v>130</v>
      </c>
      <c r="C34" s="7" t="s">
        <v>223</v>
      </c>
      <c r="D34" s="6"/>
      <c r="E34">
        <v>512</v>
      </c>
      <c r="F34" s="6" t="s">
        <v>311</v>
      </c>
      <c r="G34" s="6" t="s">
        <v>312</v>
      </c>
      <c r="H34" s="6"/>
      <c r="J34" s="6"/>
      <c r="K34" s="6"/>
      <c r="L34" s="6"/>
    </row>
    <row r="35" spans="1:12" x14ac:dyDescent="0.25">
      <c r="A35" s="6">
        <v>52</v>
      </c>
      <c r="B35" s="6" t="s">
        <v>99</v>
      </c>
      <c r="C35" s="7" t="s">
        <v>221</v>
      </c>
      <c r="D35" s="6"/>
      <c r="E35">
        <v>570</v>
      </c>
      <c r="F35" t="s">
        <v>527</v>
      </c>
      <c r="G35" t="s">
        <v>528</v>
      </c>
      <c r="H35" s="6"/>
      <c r="J35" s="6"/>
      <c r="K35" s="6"/>
      <c r="L35" s="6"/>
    </row>
    <row r="36" spans="1:12" x14ac:dyDescent="0.25">
      <c r="A36" s="6">
        <v>41</v>
      </c>
      <c r="B36" s="6" t="s">
        <v>205</v>
      </c>
      <c r="C36" s="7" t="s">
        <v>221</v>
      </c>
      <c r="D36" s="6"/>
      <c r="E36">
        <v>1547</v>
      </c>
      <c r="F36" s="6" t="s">
        <v>303</v>
      </c>
      <c r="G36" s="6" t="s">
        <v>304</v>
      </c>
      <c r="H36" s="6"/>
      <c r="J36" s="6"/>
      <c r="K36" s="6"/>
      <c r="L36" s="6"/>
    </row>
    <row r="37" spans="1:12" x14ac:dyDescent="0.25">
      <c r="A37" s="6">
        <v>9</v>
      </c>
      <c r="B37" s="6" t="s">
        <v>189</v>
      </c>
      <c r="C37" s="7" t="s">
        <v>225</v>
      </c>
      <c r="D37" s="6"/>
      <c r="E37">
        <v>1547</v>
      </c>
      <c r="F37" s="6" t="s">
        <v>303</v>
      </c>
      <c r="G37" s="6" t="s">
        <v>304</v>
      </c>
      <c r="H37" s="6"/>
      <c r="J37" s="6"/>
      <c r="K37" s="6"/>
      <c r="L37" s="6"/>
    </row>
    <row r="38" spans="1:12" x14ac:dyDescent="0.25">
      <c r="A38" s="6">
        <v>21</v>
      </c>
      <c r="B38" s="6" t="s">
        <v>196</v>
      </c>
      <c r="C38" s="7" t="s">
        <v>225</v>
      </c>
      <c r="D38" s="6"/>
      <c r="E38">
        <v>2089</v>
      </c>
      <c r="F38" s="6" t="s">
        <v>327</v>
      </c>
      <c r="G38" s="6" t="s">
        <v>328</v>
      </c>
      <c r="H38" s="6"/>
      <c r="J38" s="6"/>
      <c r="K38" s="6"/>
      <c r="L38" s="6"/>
    </row>
    <row r="39" spans="1:12" x14ac:dyDescent="0.25">
      <c r="A39" s="6">
        <v>6</v>
      </c>
      <c r="B39" s="6" t="s">
        <v>155</v>
      </c>
      <c r="C39" s="7" t="s">
        <v>222</v>
      </c>
      <c r="D39" s="6"/>
      <c r="E39">
        <v>1665</v>
      </c>
      <c r="F39" s="6" t="s">
        <v>313</v>
      </c>
      <c r="G39" s="6" t="s">
        <v>314</v>
      </c>
      <c r="H39" s="6"/>
      <c r="J39" s="6"/>
      <c r="K39" s="6"/>
      <c r="L39" s="6"/>
    </row>
    <row r="40" spans="1:12" x14ac:dyDescent="0.25">
      <c r="A40" s="6">
        <v>50</v>
      </c>
      <c r="B40" s="6" t="s">
        <v>28</v>
      </c>
      <c r="C40" s="7" t="s">
        <v>222</v>
      </c>
      <c r="D40" s="6"/>
      <c r="E40">
        <v>1666</v>
      </c>
      <c r="F40" s="6" t="s">
        <v>295</v>
      </c>
      <c r="G40" s="6" t="s">
        <v>296</v>
      </c>
      <c r="H40" s="6"/>
      <c r="J40" s="6"/>
      <c r="K40" s="6"/>
      <c r="L40" s="6"/>
    </row>
    <row r="41" spans="1:12" x14ac:dyDescent="0.25">
      <c r="A41" s="6">
        <v>12</v>
      </c>
      <c r="B41" s="6" t="s">
        <v>191</v>
      </c>
      <c r="C41" s="7" t="s">
        <v>225</v>
      </c>
      <c r="D41" s="6"/>
      <c r="E41">
        <v>2326</v>
      </c>
      <c r="F41" t="s">
        <v>531</v>
      </c>
      <c r="G41" t="s">
        <v>532</v>
      </c>
      <c r="H41" s="6"/>
      <c r="J41" s="6"/>
      <c r="K41" s="6"/>
      <c r="L41" s="6"/>
    </row>
    <row r="42" spans="1:12" x14ac:dyDescent="0.25">
      <c r="A42" s="6">
        <v>16</v>
      </c>
      <c r="B42" s="6" t="s">
        <v>162</v>
      </c>
      <c r="C42" s="7" t="s">
        <v>225</v>
      </c>
      <c r="D42" s="6"/>
      <c r="E42">
        <v>2090</v>
      </c>
      <c r="F42" s="6" t="s">
        <v>367</v>
      </c>
      <c r="G42" s="6" t="s">
        <v>368</v>
      </c>
      <c r="H42" s="6"/>
      <c r="J42" s="6"/>
      <c r="K42" s="6"/>
      <c r="L42" s="6"/>
    </row>
    <row r="43" spans="1:12" x14ac:dyDescent="0.25">
      <c r="A43" s="6">
        <v>15</v>
      </c>
      <c r="B43" s="6" t="s">
        <v>153</v>
      </c>
      <c r="C43" s="7" t="s">
        <v>225</v>
      </c>
      <c r="D43" s="6"/>
      <c r="E43">
        <v>1967</v>
      </c>
      <c r="F43" s="6" t="s">
        <v>329</v>
      </c>
      <c r="G43" s="6" t="s">
        <v>330</v>
      </c>
      <c r="H43" s="6"/>
      <c r="J43" s="6"/>
      <c r="K43" s="6"/>
      <c r="L43" s="6"/>
    </row>
    <row r="44" spans="1:12" x14ac:dyDescent="0.25">
      <c r="A44" s="6">
        <v>11</v>
      </c>
      <c r="B44" s="6" t="s">
        <v>121</v>
      </c>
      <c r="C44" s="7" t="s">
        <v>225</v>
      </c>
      <c r="D44" s="6"/>
      <c r="E44">
        <v>2094</v>
      </c>
      <c r="F44" s="6" t="s">
        <v>335</v>
      </c>
      <c r="G44" s="6" t="s">
        <v>336</v>
      </c>
      <c r="H44" s="6"/>
      <c r="J44" s="6"/>
      <c r="K44" s="6"/>
      <c r="L44" s="6"/>
    </row>
    <row r="45" spans="1:12" x14ac:dyDescent="0.25">
      <c r="A45" s="6">
        <v>85</v>
      </c>
      <c r="B45" s="6" t="s">
        <v>217</v>
      </c>
      <c r="C45" s="7" t="s">
        <v>225</v>
      </c>
      <c r="D45" s="6"/>
      <c r="E45">
        <v>1567</v>
      </c>
      <c r="F45" t="s">
        <v>512</v>
      </c>
      <c r="G45" t="s">
        <v>513</v>
      </c>
      <c r="H45" s="6"/>
      <c r="J45" s="6"/>
      <c r="K45" s="6"/>
      <c r="L45" s="6"/>
    </row>
    <row r="46" spans="1:12" x14ac:dyDescent="0.25">
      <c r="A46" s="6">
        <v>34</v>
      </c>
      <c r="B46" s="6" t="s">
        <v>56</v>
      </c>
      <c r="C46" s="7" t="s">
        <v>225</v>
      </c>
      <c r="D46" s="6"/>
      <c r="E46">
        <v>2093</v>
      </c>
      <c r="F46" t="s">
        <v>529</v>
      </c>
      <c r="G46" t="s">
        <v>530</v>
      </c>
      <c r="H46" s="6"/>
      <c r="J46" s="6"/>
      <c r="K46" s="6"/>
      <c r="L46" s="6"/>
    </row>
    <row r="47" spans="1:12" x14ac:dyDescent="0.25">
      <c r="A47" s="6">
        <v>24</v>
      </c>
      <c r="B47" s="6" t="s">
        <v>5</v>
      </c>
      <c r="C47" s="7" t="s">
        <v>225</v>
      </c>
      <c r="D47" s="6"/>
      <c r="E47">
        <v>2098</v>
      </c>
      <c r="F47" s="6" t="s">
        <v>337</v>
      </c>
      <c r="G47" s="6" t="s">
        <v>338</v>
      </c>
      <c r="H47" s="6"/>
      <c r="J47" s="6"/>
      <c r="K47" s="6"/>
      <c r="L47" s="6"/>
    </row>
    <row r="48" spans="1:12" x14ac:dyDescent="0.25">
      <c r="A48" s="6">
        <v>55</v>
      </c>
      <c r="B48" s="6" t="s">
        <v>8</v>
      </c>
      <c r="C48" s="7" t="s">
        <v>221</v>
      </c>
      <c r="D48" s="6"/>
      <c r="E48">
        <v>2099</v>
      </c>
      <c r="F48" t="s">
        <v>514</v>
      </c>
      <c r="G48" t="s">
        <v>515</v>
      </c>
      <c r="H48" s="6"/>
      <c r="J48" s="6"/>
      <c r="K48" s="6"/>
      <c r="L48" s="6"/>
    </row>
    <row r="49" spans="1:12" x14ac:dyDescent="0.25">
      <c r="A49" s="6">
        <v>45</v>
      </c>
      <c r="B49" s="6" t="s">
        <v>143</v>
      </c>
      <c r="C49" s="7" t="s">
        <v>224</v>
      </c>
      <c r="D49" s="6"/>
      <c r="E49">
        <v>2331</v>
      </c>
      <c r="F49" t="s">
        <v>533</v>
      </c>
      <c r="G49" t="s">
        <v>534</v>
      </c>
      <c r="H49" s="6"/>
      <c r="J49" s="6"/>
      <c r="K49" s="6"/>
      <c r="L49" s="6"/>
    </row>
    <row r="50" spans="1:12" x14ac:dyDescent="0.25">
      <c r="A50" s="6">
        <v>26</v>
      </c>
      <c r="B50" s="6" t="s">
        <v>140</v>
      </c>
      <c r="C50" s="7" t="s">
        <v>224</v>
      </c>
      <c r="D50" s="6"/>
      <c r="E50">
        <v>549</v>
      </c>
      <c r="F50" t="s">
        <v>433</v>
      </c>
      <c r="G50" t="s">
        <v>434</v>
      </c>
      <c r="H50" s="6"/>
      <c r="J50" s="6"/>
      <c r="K50" s="6"/>
      <c r="L50" s="6"/>
    </row>
    <row r="51" spans="1:12" x14ac:dyDescent="0.25">
      <c r="A51" s="6">
        <v>47</v>
      </c>
      <c r="B51" s="6" t="s">
        <v>207</v>
      </c>
      <c r="C51" s="7" t="s">
        <v>223</v>
      </c>
      <c r="D51" s="6"/>
      <c r="E51">
        <v>332</v>
      </c>
      <c r="F51" s="6" t="s">
        <v>365</v>
      </c>
      <c r="G51" s="6" t="s">
        <v>366</v>
      </c>
      <c r="H51" s="6"/>
      <c r="J51" s="6"/>
      <c r="K51" s="6"/>
      <c r="L51" s="6"/>
    </row>
    <row r="52" spans="1:12" x14ac:dyDescent="0.25">
      <c r="A52" s="6">
        <v>84</v>
      </c>
      <c r="B52" s="6" t="s">
        <v>165</v>
      </c>
      <c r="C52" s="7" t="s">
        <v>221</v>
      </c>
      <c r="D52" s="6"/>
      <c r="E52">
        <v>2705</v>
      </c>
      <c r="F52" s="6" t="s">
        <v>383</v>
      </c>
      <c r="G52" s="6" t="s">
        <v>384</v>
      </c>
      <c r="H52" s="6"/>
      <c r="J52" s="6"/>
      <c r="K52" s="6"/>
      <c r="L52" s="6"/>
    </row>
    <row r="53" spans="1:12" x14ac:dyDescent="0.25">
      <c r="A53" s="6">
        <v>13</v>
      </c>
      <c r="B53" s="6" t="s">
        <v>67</v>
      </c>
      <c r="C53" s="7" t="s">
        <v>223</v>
      </c>
      <c r="D53" s="6"/>
      <c r="E53">
        <v>104</v>
      </c>
      <c r="F53" s="6" t="s">
        <v>385</v>
      </c>
      <c r="G53" s="6" t="s">
        <v>386</v>
      </c>
      <c r="H53" s="6"/>
      <c r="J53" s="6"/>
      <c r="K53" s="6"/>
      <c r="L53" s="6"/>
    </row>
    <row r="54" spans="1:12" x14ac:dyDescent="0.25">
      <c r="A54" s="6">
        <v>35</v>
      </c>
      <c r="B54" s="6" t="s">
        <v>111</v>
      </c>
      <c r="C54" s="7" t="s">
        <v>224</v>
      </c>
      <c r="D54" s="6"/>
      <c r="E54">
        <v>2301</v>
      </c>
      <c r="F54" s="6" t="s">
        <v>353</v>
      </c>
      <c r="G54" s="6" t="s">
        <v>354</v>
      </c>
      <c r="H54" s="6"/>
      <c r="J54" s="6"/>
      <c r="K54" s="6"/>
      <c r="L54" s="6"/>
    </row>
    <row r="55" spans="1:12" x14ac:dyDescent="0.25">
      <c r="A55" s="6">
        <v>14</v>
      </c>
      <c r="B55" s="6" t="s">
        <v>192</v>
      </c>
      <c r="C55" s="7" t="s">
        <v>219</v>
      </c>
      <c r="D55" s="6"/>
      <c r="E55">
        <v>573</v>
      </c>
      <c r="F55" s="6" t="s">
        <v>319</v>
      </c>
      <c r="G55" s="6" t="s">
        <v>320</v>
      </c>
      <c r="H55" s="6"/>
      <c r="J55" s="6"/>
      <c r="K55" s="6"/>
      <c r="L55" s="6"/>
    </row>
    <row r="56" spans="1:12" x14ac:dyDescent="0.25">
      <c r="A56" s="6">
        <v>49</v>
      </c>
      <c r="B56" s="6" t="s">
        <v>209</v>
      </c>
      <c r="C56" s="7" t="s">
        <v>223</v>
      </c>
      <c r="D56" s="6"/>
      <c r="E56">
        <v>571</v>
      </c>
      <c r="F56" s="6" t="s">
        <v>317</v>
      </c>
      <c r="G56" s="6" t="s">
        <v>318</v>
      </c>
      <c r="H56" s="6"/>
      <c r="J56" s="6"/>
      <c r="K56" s="6"/>
      <c r="L56" s="6"/>
    </row>
    <row r="57" spans="1:12" x14ac:dyDescent="0.25">
      <c r="A57" s="6">
        <v>48</v>
      </c>
      <c r="B57" s="6" t="s">
        <v>208</v>
      </c>
      <c r="C57" s="7" t="s">
        <v>223</v>
      </c>
      <c r="D57" s="6"/>
      <c r="E57">
        <v>2237</v>
      </c>
      <c r="F57" s="6" t="s">
        <v>349</v>
      </c>
      <c r="G57" s="6" t="s">
        <v>350</v>
      </c>
      <c r="H57" s="6"/>
      <c r="J57" s="6"/>
      <c r="K57" s="6"/>
      <c r="L57" s="6"/>
    </row>
    <row r="58" spans="1:12" x14ac:dyDescent="0.25">
      <c r="A58" s="6">
        <v>3</v>
      </c>
      <c r="B58" s="6" t="s">
        <v>187</v>
      </c>
      <c r="C58" s="7" t="s">
        <v>225</v>
      </c>
      <c r="D58" s="6"/>
      <c r="E58">
        <v>942</v>
      </c>
      <c r="F58" s="6" t="s">
        <v>347</v>
      </c>
      <c r="G58" s="6" t="s">
        <v>348</v>
      </c>
      <c r="H58" s="6"/>
      <c r="J58" s="6"/>
      <c r="K58" s="6"/>
      <c r="L58" s="6"/>
    </row>
    <row r="59" spans="1:12" x14ac:dyDescent="0.25">
      <c r="A59" s="6">
        <v>2</v>
      </c>
      <c r="B59" s="6" t="s">
        <v>141</v>
      </c>
      <c r="C59" s="7" t="s">
        <v>222</v>
      </c>
      <c r="D59" s="6"/>
      <c r="E59">
        <v>4241</v>
      </c>
      <c r="F59" s="6" t="s">
        <v>345</v>
      </c>
      <c r="G59" s="6" t="s">
        <v>346</v>
      </c>
      <c r="H59" s="6"/>
      <c r="J59" s="6"/>
      <c r="K59" s="6"/>
      <c r="L59" s="6"/>
    </row>
    <row r="60" spans="1:12" x14ac:dyDescent="0.25">
      <c r="A60" s="6">
        <v>4</v>
      </c>
      <c r="B60" s="6" t="s">
        <v>188</v>
      </c>
      <c r="C60" s="7" t="s">
        <v>225</v>
      </c>
      <c r="D60" s="6"/>
      <c r="E60">
        <v>86</v>
      </c>
      <c r="F60" s="6" t="s">
        <v>297</v>
      </c>
      <c r="G60" s="6" t="s">
        <v>298</v>
      </c>
      <c r="H60" s="6"/>
      <c r="J60" s="6"/>
      <c r="K60" s="6"/>
      <c r="L60" s="6"/>
    </row>
    <row r="61" spans="1:12" x14ac:dyDescent="0.25">
      <c r="A61" s="6">
        <v>87</v>
      </c>
      <c r="B61" s="6" t="s">
        <v>220</v>
      </c>
      <c r="C61" s="7" t="s">
        <v>219</v>
      </c>
      <c r="D61" s="6"/>
      <c r="E61">
        <v>200</v>
      </c>
      <c r="F61" t="s">
        <v>425</v>
      </c>
      <c r="G61" t="s">
        <v>426</v>
      </c>
      <c r="H61" s="6"/>
      <c r="J61" s="6"/>
      <c r="K61" s="6"/>
      <c r="L61" s="6"/>
    </row>
    <row r="62" spans="1:12" x14ac:dyDescent="0.25">
      <c r="A62" s="6">
        <v>40</v>
      </c>
      <c r="B62" s="6" t="s">
        <v>204</v>
      </c>
      <c r="C62" s="7" t="s">
        <v>221</v>
      </c>
      <c r="D62" s="6"/>
      <c r="E62">
        <v>1353</v>
      </c>
      <c r="F62" s="6" t="s">
        <v>277</v>
      </c>
      <c r="G62" s="6" t="s">
        <v>278</v>
      </c>
      <c r="H62" s="6"/>
      <c r="J62" s="6"/>
      <c r="K62" s="6"/>
      <c r="L62" s="6"/>
    </row>
    <row r="63" spans="1:12" x14ac:dyDescent="0.25">
      <c r="A63" s="6">
        <v>18</v>
      </c>
      <c r="B63" s="6" t="s">
        <v>193</v>
      </c>
      <c r="C63" s="7" t="s">
        <v>225</v>
      </c>
      <c r="D63" s="6"/>
      <c r="E63">
        <v>1843</v>
      </c>
      <c r="F63" s="6" t="s">
        <v>273</v>
      </c>
      <c r="G63" s="6" t="s">
        <v>274</v>
      </c>
      <c r="H63" s="6"/>
      <c r="J63" s="6"/>
      <c r="K63" s="6"/>
      <c r="L63" s="6"/>
    </row>
    <row r="64" spans="1:12" x14ac:dyDescent="0.25">
      <c r="A64" s="6">
        <v>19</v>
      </c>
      <c r="B64" s="6" t="s">
        <v>194</v>
      </c>
      <c r="C64" s="7" t="s">
        <v>225</v>
      </c>
      <c r="D64" s="6"/>
      <c r="E64">
        <v>847</v>
      </c>
      <c r="F64" s="6" t="s">
        <v>357</v>
      </c>
      <c r="G64" s="6" t="s">
        <v>358</v>
      </c>
      <c r="H64" s="6"/>
      <c r="J64" s="6"/>
      <c r="K64" s="6"/>
      <c r="L64" s="6"/>
    </row>
    <row r="65" spans="1:12" x14ac:dyDescent="0.25">
      <c r="A65" s="6">
        <v>38</v>
      </c>
      <c r="B65" s="6" t="s">
        <v>202</v>
      </c>
      <c r="C65" s="7" t="s">
        <v>222</v>
      </c>
      <c r="D65" s="6"/>
      <c r="E65">
        <v>158</v>
      </c>
      <c r="F65" s="6" t="s">
        <v>315</v>
      </c>
      <c r="G65" s="6" t="s">
        <v>316</v>
      </c>
      <c r="H65" s="6"/>
      <c r="J65" s="6"/>
      <c r="K65" s="6"/>
      <c r="L65" s="6"/>
    </row>
    <row r="66" spans="1:12" x14ac:dyDescent="0.25">
      <c r="A66" s="6">
        <v>28</v>
      </c>
      <c r="B66" s="6" t="s">
        <v>199</v>
      </c>
      <c r="C66" s="7" t="s">
        <v>221</v>
      </c>
      <c r="D66" s="6"/>
      <c r="E66">
        <v>156</v>
      </c>
      <c r="F66" t="s">
        <v>525</v>
      </c>
      <c r="G66" t="s">
        <v>526</v>
      </c>
      <c r="H66" s="6"/>
      <c r="J66" s="6"/>
      <c r="K66" s="6"/>
      <c r="L66" s="6"/>
    </row>
    <row r="67" spans="1:12" x14ac:dyDescent="0.25">
      <c r="A67" s="6">
        <v>20</v>
      </c>
      <c r="B67" s="6" t="s">
        <v>195</v>
      </c>
      <c r="C67" s="7" t="s">
        <v>225</v>
      </c>
      <c r="D67" s="6"/>
      <c r="E67">
        <v>959</v>
      </c>
      <c r="F67" t="s">
        <v>475</v>
      </c>
      <c r="G67" t="s">
        <v>468</v>
      </c>
      <c r="H67" s="6"/>
      <c r="J67" s="6"/>
      <c r="K67" s="6"/>
      <c r="L67" s="6"/>
    </row>
    <row r="68" spans="1:12" x14ac:dyDescent="0.25">
      <c r="A68" s="6">
        <v>10</v>
      </c>
      <c r="B68" s="6" t="s">
        <v>190</v>
      </c>
      <c r="C68" s="7" t="s">
        <v>225</v>
      </c>
      <c r="D68" s="6"/>
      <c r="E68">
        <v>1049</v>
      </c>
      <c r="F68" t="s">
        <v>449</v>
      </c>
      <c r="G68" t="s">
        <v>450</v>
      </c>
      <c r="H68" s="6"/>
      <c r="J68" s="6"/>
      <c r="K68" s="6"/>
      <c r="L68" s="6"/>
    </row>
    <row r="69" spans="1:12" x14ac:dyDescent="0.25">
      <c r="A69" s="6">
        <v>25</v>
      </c>
      <c r="B69" s="6" t="s">
        <v>198</v>
      </c>
      <c r="C69" s="7" t="s">
        <v>225</v>
      </c>
      <c r="D69" s="6"/>
      <c r="E69">
        <v>189</v>
      </c>
      <c r="F69" s="6" t="s">
        <v>387</v>
      </c>
      <c r="G69" s="6" t="s">
        <v>388</v>
      </c>
      <c r="H69" s="6"/>
      <c r="J69" s="6"/>
      <c r="K69" s="6"/>
      <c r="L69" s="6"/>
    </row>
    <row r="70" spans="1:12" x14ac:dyDescent="0.25">
      <c r="A70" s="6">
        <v>77</v>
      </c>
      <c r="B70" s="6" t="s">
        <v>215</v>
      </c>
      <c r="C70" s="7" t="s">
        <v>223</v>
      </c>
      <c r="D70" s="6"/>
      <c r="E70">
        <v>177</v>
      </c>
      <c r="F70" t="s">
        <v>501</v>
      </c>
      <c r="G70" t="s">
        <v>502</v>
      </c>
      <c r="H70" s="6"/>
      <c r="J70" s="6"/>
      <c r="K70" s="6"/>
      <c r="L70" s="6"/>
    </row>
    <row r="71" spans="1:12" x14ac:dyDescent="0.25">
      <c r="A71" s="6">
        <v>59</v>
      </c>
      <c r="B71" s="6" t="s">
        <v>114</v>
      </c>
      <c r="C71" s="7" t="s">
        <v>222</v>
      </c>
      <c r="D71" s="6"/>
      <c r="E71">
        <v>2740</v>
      </c>
      <c r="F71" t="s">
        <v>468</v>
      </c>
      <c r="G71" t="s">
        <v>469</v>
      </c>
      <c r="H71" s="6"/>
      <c r="J71" s="6"/>
      <c r="K71" s="6"/>
      <c r="L71" s="6"/>
    </row>
    <row r="72" spans="1:12" x14ac:dyDescent="0.25">
      <c r="A72" s="6">
        <v>70</v>
      </c>
      <c r="B72" s="6" t="s">
        <v>133</v>
      </c>
      <c r="C72" s="7" t="s">
        <v>221</v>
      </c>
      <c r="D72" s="6"/>
      <c r="E72">
        <v>3321</v>
      </c>
      <c r="F72" t="s">
        <v>472</v>
      </c>
      <c r="G72" t="s">
        <v>469</v>
      </c>
      <c r="H72" s="6"/>
      <c r="J72" s="6"/>
      <c r="K72" s="6"/>
      <c r="L72" s="6"/>
    </row>
    <row r="73" spans="1:12" x14ac:dyDescent="0.25">
      <c r="A73" s="6">
        <v>64</v>
      </c>
      <c r="B73" s="6" t="s">
        <v>30</v>
      </c>
      <c r="C73" s="7" t="s">
        <v>222</v>
      </c>
      <c r="D73" s="6"/>
      <c r="E73">
        <v>1819</v>
      </c>
      <c r="F73" t="s">
        <v>497</v>
      </c>
      <c r="G73" t="s">
        <v>469</v>
      </c>
      <c r="H73" s="6"/>
      <c r="J73" s="6"/>
      <c r="K73" s="6"/>
      <c r="L73" s="6"/>
    </row>
    <row r="74" spans="1:12" x14ac:dyDescent="0.25">
      <c r="A74" s="6">
        <v>66</v>
      </c>
      <c r="B74" s="6" t="s">
        <v>58</v>
      </c>
      <c r="C74" s="7" t="s">
        <v>221</v>
      </c>
      <c r="D74" s="6"/>
      <c r="E74">
        <v>2739</v>
      </c>
      <c r="F74" t="s">
        <v>468</v>
      </c>
      <c r="G74" t="s">
        <v>472</v>
      </c>
      <c r="H74" s="6"/>
      <c r="J74" s="6"/>
      <c r="K74" s="6"/>
      <c r="L74" s="6"/>
    </row>
    <row r="75" spans="1:12" x14ac:dyDescent="0.25">
      <c r="A75" s="6">
        <v>72</v>
      </c>
      <c r="B75" s="6" t="s">
        <v>137</v>
      </c>
      <c r="C75" s="7" t="s">
        <v>221</v>
      </c>
      <c r="D75" s="6"/>
      <c r="E75">
        <v>1801</v>
      </c>
      <c r="F75" s="6" t="s">
        <v>307</v>
      </c>
      <c r="G75" s="6" t="s">
        <v>308</v>
      </c>
      <c r="H75" s="6"/>
      <c r="J75" s="6"/>
      <c r="K75" s="6"/>
      <c r="L75" s="6"/>
    </row>
    <row r="76" spans="1:12" x14ac:dyDescent="0.25">
      <c r="A76" s="6">
        <v>76</v>
      </c>
      <c r="B76" s="6" t="s">
        <v>214</v>
      </c>
      <c r="C76" s="7" t="s">
        <v>221</v>
      </c>
      <c r="D76" s="6"/>
      <c r="E76">
        <v>1800</v>
      </c>
      <c r="F76" s="6" t="s">
        <v>309</v>
      </c>
      <c r="G76" s="6" t="s">
        <v>310</v>
      </c>
      <c r="H76" s="6"/>
      <c r="J76" s="6"/>
      <c r="K76" s="6"/>
      <c r="L76" s="6"/>
    </row>
    <row r="77" spans="1:12" x14ac:dyDescent="0.25">
      <c r="A77" s="6">
        <v>61</v>
      </c>
      <c r="B77" s="6" t="s">
        <v>29</v>
      </c>
      <c r="C77" s="7" t="s">
        <v>221</v>
      </c>
      <c r="D77" s="6"/>
      <c r="E77">
        <v>2569</v>
      </c>
      <c r="F77" t="s">
        <v>459</v>
      </c>
      <c r="G77" t="s">
        <v>460</v>
      </c>
      <c r="H77" s="6"/>
      <c r="J77" s="6"/>
      <c r="K77" s="6"/>
      <c r="L77" s="6"/>
    </row>
    <row r="78" spans="1:12" x14ac:dyDescent="0.25">
      <c r="A78" s="6">
        <v>69</v>
      </c>
      <c r="B78" s="6" t="s">
        <v>122</v>
      </c>
      <c r="C78" s="7" t="s">
        <v>221</v>
      </c>
      <c r="D78" s="6"/>
      <c r="E78">
        <v>230</v>
      </c>
      <c r="F78" s="6" t="s">
        <v>395</v>
      </c>
      <c r="G78" s="6" t="s">
        <v>396</v>
      </c>
      <c r="H78" s="6"/>
      <c r="J78" s="6"/>
      <c r="K78" s="6"/>
      <c r="L78" s="6"/>
    </row>
    <row r="79" spans="1:12" x14ac:dyDescent="0.25">
      <c r="A79" s="6">
        <v>71</v>
      </c>
      <c r="B79" s="6" t="s">
        <v>213</v>
      </c>
      <c r="C79" s="7" t="s">
        <v>221</v>
      </c>
      <c r="D79" s="6"/>
      <c r="E79">
        <v>511</v>
      </c>
      <c r="F79" s="6" t="s">
        <v>247</v>
      </c>
      <c r="G79" s="6" t="s">
        <v>248</v>
      </c>
      <c r="H79" s="6"/>
      <c r="J79" s="6"/>
      <c r="K79" s="6"/>
      <c r="L79" s="6"/>
    </row>
    <row r="80" spans="1:12" x14ac:dyDescent="0.25">
      <c r="A80" s="6">
        <v>60</v>
      </c>
      <c r="B80" s="6" t="s">
        <v>33</v>
      </c>
      <c r="C80" s="7" t="s">
        <v>221</v>
      </c>
      <c r="D80" s="6"/>
      <c r="E80">
        <v>1138</v>
      </c>
      <c r="F80" t="s">
        <v>429</v>
      </c>
      <c r="G80" t="s">
        <v>430</v>
      </c>
      <c r="H80" s="6"/>
      <c r="J80" s="6"/>
      <c r="K80" s="6"/>
      <c r="L80" s="6"/>
    </row>
    <row r="81" spans="1:12" x14ac:dyDescent="0.25">
      <c r="A81" s="6">
        <v>63</v>
      </c>
      <c r="B81" s="6" t="s">
        <v>63</v>
      </c>
      <c r="C81" s="7" t="s">
        <v>222</v>
      </c>
      <c r="D81" s="6"/>
      <c r="E81">
        <v>9030</v>
      </c>
      <c r="F81" t="s">
        <v>494</v>
      </c>
      <c r="G81" t="s">
        <v>495</v>
      </c>
      <c r="H81" s="6"/>
      <c r="J81" s="6"/>
      <c r="K81" s="6"/>
      <c r="L81" s="6"/>
    </row>
    <row r="82" spans="1:12" x14ac:dyDescent="0.25">
      <c r="A82" s="6">
        <v>62</v>
      </c>
      <c r="B82" s="6" t="s">
        <v>210</v>
      </c>
      <c r="C82" s="7" t="s">
        <v>221</v>
      </c>
      <c r="D82" s="6"/>
      <c r="E82">
        <v>1668</v>
      </c>
      <c r="F82" s="6" t="s">
        <v>322</v>
      </c>
      <c r="G82" s="6" t="s">
        <v>324</v>
      </c>
      <c r="H82" s="6"/>
      <c r="J82" s="6"/>
      <c r="K82" s="6"/>
      <c r="L82" s="6"/>
    </row>
    <row r="83" spans="1:12" x14ac:dyDescent="0.25">
      <c r="A83" s="6">
        <v>67</v>
      </c>
      <c r="B83" s="6" t="s">
        <v>212</v>
      </c>
      <c r="C83" s="7" t="s">
        <v>221</v>
      </c>
      <c r="D83" s="6"/>
      <c r="E83">
        <v>1667</v>
      </c>
      <c r="F83" s="6" t="s">
        <v>325</v>
      </c>
      <c r="G83" s="6" t="s">
        <v>326</v>
      </c>
      <c r="H83" s="6"/>
      <c r="J83" s="6"/>
      <c r="K83" s="6"/>
      <c r="L83" s="6"/>
    </row>
    <row r="84" spans="1:12" x14ac:dyDescent="0.25">
      <c r="A84" s="6">
        <v>73</v>
      </c>
      <c r="B84" s="6" t="s">
        <v>138</v>
      </c>
      <c r="C84" s="7" t="s">
        <v>221</v>
      </c>
      <c r="D84" s="6"/>
      <c r="E84">
        <v>2088</v>
      </c>
      <c r="F84" s="6" t="s">
        <v>267</v>
      </c>
      <c r="G84" s="6" t="s">
        <v>268</v>
      </c>
      <c r="H84" s="6"/>
      <c r="J84" s="6"/>
      <c r="K84" s="6"/>
      <c r="L84" s="6"/>
    </row>
    <row r="85" spans="1:12" x14ac:dyDescent="0.25">
      <c r="A85" s="6">
        <v>43</v>
      </c>
      <c r="B85" s="6" t="s">
        <v>108</v>
      </c>
      <c r="C85" s="7" t="s">
        <v>224</v>
      </c>
      <c r="D85" s="6"/>
      <c r="E85">
        <v>2088</v>
      </c>
      <c r="F85" s="6" t="s">
        <v>267</v>
      </c>
      <c r="G85" s="6" t="s">
        <v>268</v>
      </c>
      <c r="H85" s="6"/>
      <c r="J85" s="6"/>
      <c r="K85" s="6"/>
      <c r="L85" s="6"/>
    </row>
    <row r="86" spans="1:12" x14ac:dyDescent="0.25">
      <c r="A86" s="6">
        <v>27</v>
      </c>
      <c r="B86" s="6" t="s">
        <v>92</v>
      </c>
      <c r="C86" s="7" t="s">
        <v>224</v>
      </c>
      <c r="D86" s="6"/>
      <c r="E86">
        <v>1664</v>
      </c>
      <c r="F86" s="6" t="s">
        <v>263</v>
      </c>
      <c r="G86" s="6" t="s">
        <v>264</v>
      </c>
      <c r="H86" s="6"/>
      <c r="J86" s="6"/>
      <c r="K86" s="6"/>
      <c r="L86" s="6"/>
    </row>
    <row r="87" spans="1:12" x14ac:dyDescent="0.25">
      <c r="A87" s="6">
        <v>29</v>
      </c>
      <c r="B87" s="6" t="s">
        <v>200</v>
      </c>
      <c r="C87" s="7" t="s">
        <v>224</v>
      </c>
      <c r="D87" s="6"/>
      <c r="E87">
        <v>1664</v>
      </c>
      <c r="F87" s="6" t="s">
        <v>263</v>
      </c>
      <c r="G87" s="6" t="s">
        <v>264</v>
      </c>
      <c r="H87" s="6"/>
      <c r="J87" s="6"/>
      <c r="K87" s="6"/>
      <c r="L87" s="6"/>
    </row>
    <row r="88" spans="1:12" x14ac:dyDescent="0.25">
      <c r="A88" s="6">
        <v>17</v>
      </c>
      <c r="B88" s="6" t="s">
        <v>115</v>
      </c>
      <c r="C88" s="7" t="s">
        <v>225</v>
      </c>
      <c r="D88" s="6"/>
      <c r="E88">
        <v>1968</v>
      </c>
      <c r="F88" s="6" t="s">
        <v>265</v>
      </c>
      <c r="G88" s="6" t="s">
        <v>266</v>
      </c>
      <c r="H88" s="6"/>
      <c r="J88" s="6"/>
      <c r="K88" s="6"/>
      <c r="L88" s="6"/>
    </row>
    <row r="89" spans="1:12" x14ac:dyDescent="0.25">
      <c r="E89">
        <v>1968</v>
      </c>
      <c r="F89" s="6" t="s">
        <v>265</v>
      </c>
      <c r="G89" s="6" t="s">
        <v>266</v>
      </c>
    </row>
    <row r="90" spans="1:12" x14ac:dyDescent="0.25">
      <c r="E90">
        <v>2102</v>
      </c>
      <c r="F90" s="6" t="s">
        <v>269</v>
      </c>
      <c r="G90" s="6" t="s">
        <v>270</v>
      </c>
    </row>
    <row r="91" spans="1:12" x14ac:dyDescent="0.25">
      <c r="E91">
        <v>2102</v>
      </c>
      <c r="F91" s="6" t="s">
        <v>269</v>
      </c>
      <c r="G91" s="6" t="s">
        <v>270</v>
      </c>
    </row>
    <row r="92" spans="1:12" x14ac:dyDescent="0.25">
      <c r="E92">
        <v>1827</v>
      </c>
      <c r="F92" t="s">
        <v>487</v>
      </c>
      <c r="G92" t="s">
        <v>520</v>
      </c>
    </row>
    <row r="93" spans="1:12" x14ac:dyDescent="0.25">
      <c r="E93">
        <v>1830</v>
      </c>
      <c r="F93" t="s">
        <v>491</v>
      </c>
      <c r="G93" t="s">
        <v>490</v>
      </c>
    </row>
    <row r="94" spans="1:12" x14ac:dyDescent="0.25">
      <c r="E94">
        <v>1067</v>
      </c>
      <c r="F94" t="s">
        <v>489</v>
      </c>
      <c r="G94" t="s">
        <v>490</v>
      </c>
    </row>
    <row r="95" spans="1:12" x14ac:dyDescent="0.25">
      <c r="E95">
        <v>765</v>
      </c>
      <c r="F95" s="6" t="s">
        <v>351</v>
      </c>
      <c r="G95" s="6" t="s">
        <v>352</v>
      </c>
    </row>
    <row r="96" spans="1:12" x14ac:dyDescent="0.25">
      <c r="E96">
        <v>771</v>
      </c>
      <c r="F96" t="s">
        <v>470</v>
      </c>
      <c r="G96" t="s">
        <v>471</v>
      </c>
    </row>
    <row r="97" spans="5:7" x14ac:dyDescent="0.25">
      <c r="E97">
        <v>5168</v>
      </c>
      <c r="F97" s="6" t="s">
        <v>381</v>
      </c>
      <c r="G97" s="6" t="s">
        <v>382</v>
      </c>
    </row>
    <row r="98" spans="5:7" x14ac:dyDescent="0.25">
      <c r="E98">
        <v>1858</v>
      </c>
      <c r="F98" t="s">
        <v>431</v>
      </c>
      <c r="G98" t="s">
        <v>432</v>
      </c>
    </row>
    <row r="99" spans="5:7" x14ac:dyDescent="0.25">
      <c r="E99">
        <v>2059</v>
      </c>
      <c r="F99" s="6" t="s">
        <v>379</v>
      </c>
      <c r="G99" s="6" t="s">
        <v>380</v>
      </c>
    </row>
    <row r="100" spans="5:7" x14ac:dyDescent="0.25">
      <c r="E100">
        <v>1066</v>
      </c>
      <c r="F100" t="s">
        <v>486</v>
      </c>
      <c r="G100" t="s">
        <v>496</v>
      </c>
    </row>
    <row r="101" spans="5:7" x14ac:dyDescent="0.25">
      <c r="E101">
        <v>2101</v>
      </c>
      <c r="F101" t="s">
        <v>518</v>
      </c>
      <c r="G101" t="s">
        <v>519</v>
      </c>
    </row>
    <row r="102" spans="5:7" x14ac:dyDescent="0.25">
      <c r="E102">
        <v>939</v>
      </c>
      <c r="F102" s="6" t="s">
        <v>331</v>
      </c>
      <c r="G102" s="6" t="s">
        <v>332</v>
      </c>
    </row>
    <row r="103" spans="5:7" x14ac:dyDescent="0.25">
      <c r="E103">
        <v>1799</v>
      </c>
      <c r="F103" t="s">
        <v>399</v>
      </c>
      <c r="G103" t="s">
        <v>400</v>
      </c>
    </row>
    <row r="104" spans="5:7" x14ac:dyDescent="0.25">
      <c r="E104">
        <v>3005</v>
      </c>
      <c r="F104" s="6" t="s">
        <v>391</v>
      </c>
      <c r="G104" s="6" t="s">
        <v>392</v>
      </c>
    </row>
    <row r="105" spans="5:7" x14ac:dyDescent="0.25">
      <c r="E105">
        <v>161</v>
      </c>
      <c r="F105" s="6" t="s">
        <v>343</v>
      </c>
      <c r="G105" s="6" t="s">
        <v>344</v>
      </c>
    </row>
    <row r="106" spans="5:7" x14ac:dyDescent="0.25">
      <c r="E106">
        <v>137</v>
      </c>
      <c r="F106" s="6" t="s">
        <v>393</v>
      </c>
      <c r="G106" s="6" t="s">
        <v>394</v>
      </c>
    </row>
    <row r="107" spans="5:7" x14ac:dyDescent="0.25">
      <c r="E107">
        <v>289</v>
      </c>
      <c r="F107" t="s">
        <v>523</v>
      </c>
      <c r="G107" t="s">
        <v>524</v>
      </c>
    </row>
    <row r="108" spans="5:7" x14ac:dyDescent="0.25">
      <c r="E108">
        <v>1641</v>
      </c>
      <c r="F108" t="s">
        <v>487</v>
      </c>
      <c r="G108" t="s">
        <v>488</v>
      </c>
    </row>
    <row r="109" spans="5:7" x14ac:dyDescent="0.25">
      <c r="E109">
        <v>1057</v>
      </c>
      <c r="F109" t="s">
        <v>483</v>
      </c>
      <c r="G109" t="s">
        <v>484</v>
      </c>
    </row>
    <row r="110" spans="5:7" x14ac:dyDescent="0.25">
      <c r="E110">
        <v>1056</v>
      </c>
      <c r="F110" t="s">
        <v>484</v>
      </c>
      <c r="G110" t="s">
        <v>481</v>
      </c>
    </row>
    <row r="111" spans="5:7" x14ac:dyDescent="0.25">
      <c r="E111">
        <v>1663</v>
      </c>
      <c r="F111" s="6" t="s">
        <v>263</v>
      </c>
      <c r="G111" s="6" t="s">
        <v>321</v>
      </c>
    </row>
    <row r="112" spans="5:7" x14ac:dyDescent="0.25">
      <c r="E112">
        <v>2100</v>
      </c>
      <c r="F112" s="6" t="s">
        <v>339</v>
      </c>
      <c r="G112" s="6" t="s">
        <v>340</v>
      </c>
    </row>
    <row r="113" spans="5:7" x14ac:dyDescent="0.25">
      <c r="E113">
        <v>2325</v>
      </c>
      <c r="F113" s="6" t="s">
        <v>322</v>
      </c>
      <c r="G113" s="6" t="s">
        <v>323</v>
      </c>
    </row>
    <row r="114" spans="5:7" x14ac:dyDescent="0.25">
      <c r="E114">
        <v>1529</v>
      </c>
      <c r="F114" t="s">
        <v>481</v>
      </c>
      <c r="G114" t="s">
        <v>482</v>
      </c>
    </row>
    <row r="115" spans="5:7" x14ac:dyDescent="0.25">
      <c r="E115">
        <v>7618</v>
      </c>
      <c r="F115" t="s">
        <v>453</v>
      </c>
      <c r="G115" t="s">
        <v>454</v>
      </c>
    </row>
    <row r="116" spans="5:7" x14ac:dyDescent="0.25">
      <c r="E116">
        <v>2235</v>
      </c>
      <c r="F116" s="6" t="s">
        <v>333</v>
      </c>
      <c r="G116" s="6" t="s">
        <v>334</v>
      </c>
    </row>
    <row r="117" spans="5:7" x14ac:dyDescent="0.25">
      <c r="E117">
        <v>430</v>
      </c>
      <c r="F117" t="s">
        <v>427</v>
      </c>
      <c r="G117" t="s">
        <v>428</v>
      </c>
    </row>
    <row r="118" spans="5:7" x14ac:dyDescent="0.25">
      <c r="E118">
        <v>2019</v>
      </c>
      <c r="F118" t="s">
        <v>439</v>
      </c>
      <c r="G118" t="s">
        <v>440</v>
      </c>
    </row>
    <row r="119" spans="5:7" x14ac:dyDescent="0.25">
      <c r="E119">
        <v>1829</v>
      </c>
      <c r="F119" t="s">
        <v>464</v>
      </c>
      <c r="G119" t="s">
        <v>465</v>
      </c>
    </row>
    <row r="120" spans="5:7" x14ac:dyDescent="0.25">
      <c r="E120">
        <v>1070</v>
      </c>
      <c r="F120" t="s">
        <v>463</v>
      </c>
      <c r="G120" t="s">
        <v>462</v>
      </c>
    </row>
    <row r="121" spans="5:7" x14ac:dyDescent="0.25">
      <c r="E121">
        <v>1068</v>
      </c>
      <c r="F121" t="s">
        <v>461</v>
      </c>
      <c r="G121" t="s">
        <v>462</v>
      </c>
    </row>
    <row r="122" spans="5:7" x14ac:dyDescent="0.25">
      <c r="E122">
        <v>2568</v>
      </c>
      <c r="F122" t="s">
        <v>466</v>
      </c>
      <c r="G122" t="s">
        <v>467</v>
      </c>
    </row>
    <row r="123" spans="5:7" x14ac:dyDescent="0.25">
      <c r="E123">
        <v>842</v>
      </c>
      <c r="F123" t="s">
        <v>506</v>
      </c>
      <c r="G123" t="s">
        <v>507</v>
      </c>
    </row>
    <row r="124" spans="5:7" x14ac:dyDescent="0.25">
      <c r="E124">
        <v>1015</v>
      </c>
      <c r="F124" t="s">
        <v>473</v>
      </c>
      <c r="G124" t="s">
        <v>474</v>
      </c>
    </row>
    <row r="125" spans="5:7" x14ac:dyDescent="0.25">
      <c r="E125">
        <v>1969</v>
      </c>
      <c r="F125" t="s">
        <v>266</v>
      </c>
      <c r="G125" t="s">
        <v>419</v>
      </c>
    </row>
    <row r="126" spans="5:7" x14ac:dyDescent="0.25">
      <c r="E126">
        <v>1229</v>
      </c>
      <c r="F126" s="6" t="s">
        <v>285</v>
      </c>
      <c r="G126" s="6" t="s">
        <v>286</v>
      </c>
    </row>
    <row r="127" spans="5:7" x14ac:dyDescent="0.25">
      <c r="E127">
        <v>2147</v>
      </c>
      <c r="F127" t="s">
        <v>254</v>
      </c>
      <c r="G127" t="s">
        <v>417</v>
      </c>
    </row>
    <row r="128" spans="5:7" x14ac:dyDescent="0.25">
      <c r="E128">
        <v>1227</v>
      </c>
      <c r="F128" s="6" t="s">
        <v>253</v>
      </c>
      <c r="G128" s="6" t="s">
        <v>254</v>
      </c>
    </row>
    <row r="129" spans="5:7" x14ac:dyDescent="0.25">
      <c r="E129">
        <v>2748</v>
      </c>
      <c r="F129" t="s">
        <v>421</v>
      </c>
      <c r="G129" t="s">
        <v>422</v>
      </c>
    </row>
    <row r="130" spans="5:7" x14ac:dyDescent="0.25">
      <c r="E130">
        <v>1132</v>
      </c>
      <c r="F130" s="6" t="s">
        <v>283</v>
      </c>
      <c r="G130" s="6" t="s">
        <v>284</v>
      </c>
    </row>
    <row r="131" spans="5:7" x14ac:dyDescent="0.25">
      <c r="E131">
        <v>1863</v>
      </c>
      <c r="F131" t="s">
        <v>252</v>
      </c>
      <c r="G131" t="s">
        <v>416</v>
      </c>
    </row>
    <row r="132" spans="5:7" x14ac:dyDescent="0.25">
      <c r="E132">
        <v>6590</v>
      </c>
      <c r="F132" t="s">
        <v>492</v>
      </c>
      <c r="G132" t="s">
        <v>493</v>
      </c>
    </row>
    <row r="133" spans="5:7" x14ac:dyDescent="0.25">
      <c r="E133">
        <v>1126</v>
      </c>
      <c r="F133" s="6" t="s">
        <v>251</v>
      </c>
      <c r="G133" s="6" t="s">
        <v>252</v>
      </c>
    </row>
    <row r="134" spans="5:7" x14ac:dyDescent="0.25">
      <c r="E134">
        <v>3815</v>
      </c>
      <c r="F134" t="s">
        <v>451</v>
      </c>
      <c r="G134" t="s">
        <v>452</v>
      </c>
    </row>
    <row r="135" spans="5:7" x14ac:dyDescent="0.25">
      <c r="E135">
        <v>2087</v>
      </c>
      <c r="F135" t="s">
        <v>379</v>
      </c>
      <c r="G135" t="s">
        <v>503</v>
      </c>
    </row>
    <row r="136" spans="5:7" x14ac:dyDescent="0.25">
      <c r="E136">
        <v>6522</v>
      </c>
      <c r="F136" t="s">
        <v>409</v>
      </c>
      <c r="G136" t="s">
        <v>410</v>
      </c>
    </row>
    <row r="137" spans="5:7" x14ac:dyDescent="0.25">
      <c r="E137">
        <v>1271</v>
      </c>
      <c r="F137" s="6" t="s">
        <v>389</v>
      </c>
      <c r="G137" s="6" t="s">
        <v>390</v>
      </c>
    </row>
    <row r="138" spans="5:7" x14ac:dyDescent="0.25">
      <c r="E138">
        <v>2294</v>
      </c>
      <c r="F138" t="s">
        <v>256</v>
      </c>
      <c r="G138" t="s">
        <v>423</v>
      </c>
    </row>
    <row r="139" spans="5:7" x14ac:dyDescent="0.25">
      <c r="E139">
        <v>2323</v>
      </c>
      <c r="F139" s="6" t="s">
        <v>255</v>
      </c>
      <c r="G139" s="6" t="s">
        <v>256</v>
      </c>
    </row>
    <row r="140" spans="5:7" x14ac:dyDescent="0.25">
      <c r="E140">
        <v>3346</v>
      </c>
      <c r="F140" s="6" t="s">
        <v>259</v>
      </c>
      <c r="G140" s="6" t="s">
        <v>260</v>
      </c>
    </row>
    <row r="141" spans="5:7" x14ac:dyDescent="0.25">
      <c r="E141">
        <v>2295</v>
      </c>
      <c r="F141" t="s">
        <v>260</v>
      </c>
      <c r="G141" t="s">
        <v>424</v>
      </c>
    </row>
    <row r="142" spans="5:7" x14ac:dyDescent="0.25">
      <c r="E142">
        <v>2055</v>
      </c>
      <c r="F142" t="s">
        <v>504</v>
      </c>
      <c r="G142" t="s">
        <v>505</v>
      </c>
    </row>
    <row r="143" spans="5:7" x14ac:dyDescent="0.25">
      <c r="E143">
        <v>2029</v>
      </c>
      <c r="F143" t="s">
        <v>411</v>
      </c>
      <c r="G143" t="s">
        <v>412</v>
      </c>
    </row>
    <row r="144" spans="5:7" x14ac:dyDescent="0.25">
      <c r="E144">
        <v>658</v>
      </c>
      <c r="F144" t="s">
        <v>476</v>
      </c>
      <c r="G144" t="s">
        <v>478</v>
      </c>
    </row>
    <row r="145" spans="5:7" x14ac:dyDescent="0.25">
      <c r="E145">
        <v>921</v>
      </c>
      <c r="F145" s="6" t="s">
        <v>397</v>
      </c>
      <c r="G145" s="6" t="s">
        <v>398</v>
      </c>
    </row>
    <row r="146" spans="5:7" x14ac:dyDescent="0.25">
      <c r="E146">
        <v>2738</v>
      </c>
      <c r="F146" t="s">
        <v>535</v>
      </c>
      <c r="G146" t="s">
        <v>536</v>
      </c>
    </row>
    <row r="147" spans="5:7" x14ac:dyDescent="0.25">
      <c r="E147">
        <v>703</v>
      </c>
      <c r="F147" s="6" t="s">
        <v>371</v>
      </c>
      <c r="G147" s="6" t="s">
        <v>372</v>
      </c>
    </row>
    <row r="148" spans="5:7" x14ac:dyDescent="0.25">
      <c r="E148">
        <v>8364</v>
      </c>
      <c r="F148" t="s">
        <v>445</v>
      </c>
      <c r="G148" t="s">
        <v>446</v>
      </c>
    </row>
    <row r="149" spans="5:7" x14ac:dyDescent="0.25">
      <c r="E149">
        <v>8363</v>
      </c>
      <c r="F149" t="s">
        <v>443</v>
      </c>
      <c r="G149" t="s">
        <v>444</v>
      </c>
    </row>
    <row r="150" spans="5:7" x14ac:dyDescent="0.25">
      <c r="E150">
        <v>3596</v>
      </c>
      <c r="F150" t="s">
        <v>508</v>
      </c>
      <c r="G150" t="s">
        <v>509</v>
      </c>
    </row>
    <row r="151" spans="5:7" x14ac:dyDescent="0.25">
      <c r="E151">
        <v>6520</v>
      </c>
      <c r="F151" t="s">
        <v>405</v>
      </c>
      <c r="G151" t="s">
        <v>406</v>
      </c>
    </row>
    <row r="152" spans="5:7" x14ac:dyDescent="0.25">
      <c r="E152">
        <v>6521</v>
      </c>
      <c r="F152" t="s">
        <v>407</v>
      </c>
      <c r="G152" t="s">
        <v>408</v>
      </c>
    </row>
    <row r="153" spans="5:7" x14ac:dyDescent="0.25">
      <c r="E153">
        <v>945</v>
      </c>
      <c r="F153" s="6" t="s">
        <v>361</v>
      </c>
      <c r="G153" s="6" t="s">
        <v>362</v>
      </c>
    </row>
    <row r="154" spans="5:7" x14ac:dyDescent="0.25">
      <c r="E154">
        <v>3940</v>
      </c>
      <c r="F154" s="6" t="s">
        <v>373</v>
      </c>
      <c r="G154" s="6" t="s">
        <v>374</v>
      </c>
    </row>
    <row r="155" spans="5:7" x14ac:dyDescent="0.25">
      <c r="E155">
        <v>615</v>
      </c>
      <c r="F155" s="6" t="s">
        <v>299</v>
      </c>
      <c r="G155" s="6" t="s">
        <v>300</v>
      </c>
    </row>
    <row r="156" spans="5:7" x14ac:dyDescent="0.25">
      <c r="E156">
        <v>11319</v>
      </c>
      <c r="F156" s="6" t="s">
        <v>305</v>
      </c>
      <c r="G156" s="6" t="s">
        <v>306</v>
      </c>
    </row>
    <row r="157" spans="5:7" x14ac:dyDescent="0.25">
      <c r="E157">
        <v>2017</v>
      </c>
      <c r="F157" t="s">
        <v>435</v>
      </c>
      <c r="G157" t="s">
        <v>436</v>
      </c>
    </row>
    <row r="158" spans="5:7" x14ac:dyDescent="0.25">
      <c r="E158">
        <v>2024</v>
      </c>
      <c r="F158" t="s">
        <v>441</v>
      </c>
      <c r="G158" t="s">
        <v>442</v>
      </c>
    </row>
    <row r="159" spans="5:7" x14ac:dyDescent="0.25">
      <c r="E159">
        <v>2018</v>
      </c>
      <c r="F159" t="s">
        <v>437</v>
      </c>
      <c r="G159" t="s">
        <v>438</v>
      </c>
    </row>
    <row r="160" spans="5:7" x14ac:dyDescent="0.25">
      <c r="E160">
        <v>1569</v>
      </c>
      <c r="F160" s="6" t="s">
        <v>261</v>
      </c>
      <c r="G160" s="6" t="s">
        <v>262</v>
      </c>
    </row>
    <row r="161" spans="5:7" x14ac:dyDescent="0.25">
      <c r="E161">
        <v>1569</v>
      </c>
      <c r="F161" s="6" t="s">
        <v>261</v>
      </c>
      <c r="G161" s="6" t="s">
        <v>262</v>
      </c>
    </row>
    <row r="162" spans="5:7" x14ac:dyDescent="0.25">
      <c r="E162">
        <v>2691</v>
      </c>
      <c r="F162" s="6" t="s">
        <v>239</v>
      </c>
      <c r="G162" s="6" t="s">
        <v>240</v>
      </c>
    </row>
    <row r="163" spans="5:7" x14ac:dyDescent="0.25">
      <c r="E163">
        <v>505</v>
      </c>
      <c r="F163" t="s">
        <v>499</v>
      </c>
      <c r="G163" t="s">
        <v>500</v>
      </c>
    </row>
    <row r="164" spans="5:7" x14ac:dyDescent="0.25">
      <c r="E164">
        <v>291</v>
      </c>
      <c r="F164" t="s">
        <v>498</v>
      </c>
      <c r="G164" t="s">
        <v>499</v>
      </c>
    </row>
    <row r="165" spans="5:7" x14ac:dyDescent="0.25">
      <c r="E165">
        <v>966</v>
      </c>
      <c r="F165" t="s">
        <v>521</v>
      </c>
      <c r="G165" t="s">
        <v>522</v>
      </c>
    </row>
    <row r="166" spans="5:7" x14ac:dyDescent="0.25">
      <c r="E166">
        <v>963</v>
      </c>
      <c r="F166" s="6" t="s">
        <v>249</v>
      </c>
      <c r="G166" s="6" t="s">
        <v>250</v>
      </c>
    </row>
    <row r="167" spans="5:7" x14ac:dyDescent="0.25">
      <c r="E167">
        <v>2142</v>
      </c>
      <c r="F167" s="6" t="s">
        <v>287</v>
      </c>
      <c r="G167" s="6" t="s">
        <v>288</v>
      </c>
    </row>
    <row r="168" spans="5:7" x14ac:dyDescent="0.25">
      <c r="E168">
        <v>2297</v>
      </c>
      <c r="F168" t="s">
        <v>258</v>
      </c>
      <c r="G168" t="s">
        <v>418</v>
      </c>
    </row>
    <row r="169" spans="5:7" x14ac:dyDescent="0.25">
      <c r="E169">
        <v>2719</v>
      </c>
      <c r="F169" s="6" t="s">
        <v>257</v>
      </c>
      <c r="G169" s="6" t="s">
        <v>258</v>
      </c>
    </row>
  </sheetData>
  <pageMargins left="0.7" right="0.7" top="0.75" bottom="0.75" header="0.3" footer="0.3"/>
  <pageSetup orientation="portrait" r:id="rId1"/>
  <tableParts count="3"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077C6-090C-48E2-BACF-93FB8DCE8BC0}">
  <dimension ref="A1:K294"/>
  <sheetViews>
    <sheetView topLeftCell="B1" workbookViewId="0">
      <selection activeCell="I14" sqref="I14"/>
    </sheetView>
  </sheetViews>
  <sheetFormatPr defaultRowHeight="15" x14ac:dyDescent="0.25"/>
  <cols>
    <col min="3" max="3" width="40.140625" bestFit="1" customWidth="1"/>
    <col min="5" max="5" width="6" bestFit="1" customWidth="1"/>
    <col min="6" max="7" width="81.140625" bestFit="1" customWidth="1"/>
  </cols>
  <sheetData>
    <row r="1" spans="1:11" x14ac:dyDescent="0.25">
      <c r="A1" t="s">
        <v>226</v>
      </c>
      <c r="B1" t="s">
        <v>227</v>
      </c>
      <c r="C1" t="s">
        <v>228</v>
      </c>
      <c r="E1" t="s">
        <v>226</v>
      </c>
      <c r="F1" t="s">
        <v>237</v>
      </c>
      <c r="G1" t="s">
        <v>238</v>
      </c>
      <c r="I1" t="s">
        <v>228</v>
      </c>
      <c r="J1" t="s">
        <v>1063</v>
      </c>
      <c r="K1" t="s">
        <v>1064</v>
      </c>
    </row>
    <row r="2" spans="1:11" x14ac:dyDescent="0.25">
      <c r="A2" s="7">
        <v>68</v>
      </c>
      <c r="B2" s="7" t="s">
        <v>60</v>
      </c>
      <c r="C2" s="7" t="s">
        <v>223</v>
      </c>
      <c r="E2">
        <v>4</v>
      </c>
      <c r="F2" t="s">
        <v>539</v>
      </c>
      <c r="G2" t="s">
        <v>540</v>
      </c>
      <c r="I2" s="7"/>
      <c r="J2" s="6">
        <f>COUNTBLANK(Aureus_ec[Module])</f>
        <v>15</v>
      </c>
      <c r="K2" s="19">
        <f t="shared" ref="K2:K9" si="0">J2/$J$10</f>
        <v>0.11904761904761904</v>
      </c>
    </row>
    <row r="3" spans="1:11" x14ac:dyDescent="0.25">
      <c r="A3" s="7">
        <v>6</v>
      </c>
      <c r="B3" s="7" t="s">
        <v>3</v>
      </c>
      <c r="C3" s="7" t="s">
        <v>225</v>
      </c>
      <c r="E3">
        <v>14</v>
      </c>
      <c r="F3" t="s">
        <v>455</v>
      </c>
      <c r="G3" t="s">
        <v>456</v>
      </c>
      <c r="I3" s="7" t="s">
        <v>219</v>
      </c>
      <c r="J3" s="6">
        <f>COUNTIF(Aureus_ec[Module],Table13[[#This Row],[Module]])</f>
        <v>32</v>
      </c>
      <c r="K3" s="19">
        <f t="shared" si="0"/>
        <v>0.25396825396825395</v>
      </c>
    </row>
    <row r="4" spans="1:11" x14ac:dyDescent="0.25">
      <c r="A4" s="7">
        <v>98</v>
      </c>
      <c r="B4" s="7" t="s">
        <v>87</v>
      </c>
      <c r="C4" s="7" t="s">
        <v>219</v>
      </c>
      <c r="E4">
        <v>36</v>
      </c>
      <c r="F4" t="s">
        <v>541</v>
      </c>
      <c r="G4" t="s">
        <v>542</v>
      </c>
      <c r="I4" s="7" t="s">
        <v>229</v>
      </c>
      <c r="J4" s="6">
        <f>COUNTIF(Aureus_ec[Module],Table13[[#This Row],[Module]])</f>
        <v>6</v>
      </c>
      <c r="K4" s="19">
        <f t="shared" si="0"/>
        <v>4.7619047619047616E-2</v>
      </c>
    </row>
    <row r="5" spans="1:11" x14ac:dyDescent="0.25">
      <c r="A5" s="7">
        <v>90</v>
      </c>
      <c r="B5" s="7" t="s">
        <v>80</v>
      </c>
      <c r="C5" s="7" t="s">
        <v>221</v>
      </c>
      <c r="E5">
        <v>84</v>
      </c>
      <c r="F5" t="s">
        <v>543</v>
      </c>
      <c r="G5" t="s">
        <v>544</v>
      </c>
      <c r="I5" s="7" t="s">
        <v>225</v>
      </c>
      <c r="J5" s="6">
        <f>COUNTIF(Aureus_ec[Module],Table13[[#This Row],[Module]])</f>
        <v>17</v>
      </c>
      <c r="K5" s="19">
        <f t="shared" si="0"/>
        <v>0.13492063492063491</v>
      </c>
    </row>
    <row r="6" spans="1:11" x14ac:dyDescent="0.25">
      <c r="A6" s="7">
        <v>89</v>
      </c>
      <c r="B6" s="7" t="s">
        <v>79</v>
      </c>
      <c r="C6" s="7" t="s">
        <v>221</v>
      </c>
      <c r="E6">
        <v>104</v>
      </c>
      <c r="F6" t="s">
        <v>385</v>
      </c>
      <c r="G6" t="s">
        <v>386</v>
      </c>
      <c r="I6" s="7" t="s">
        <v>221</v>
      </c>
      <c r="J6" s="6">
        <f>COUNTIF(Aureus_ec[Module],Table13[[#This Row],[Module]])</f>
        <v>18</v>
      </c>
      <c r="K6" s="19">
        <f t="shared" si="0"/>
        <v>0.14285714285714285</v>
      </c>
    </row>
    <row r="7" spans="1:11" x14ac:dyDescent="0.25">
      <c r="A7" s="7">
        <v>142</v>
      </c>
      <c r="B7" s="7" t="s">
        <v>124</v>
      </c>
      <c r="C7" s="7" t="s">
        <v>229</v>
      </c>
      <c r="E7">
        <v>127</v>
      </c>
      <c r="F7" t="s">
        <v>301</v>
      </c>
      <c r="G7" t="s">
        <v>302</v>
      </c>
      <c r="I7" s="7" t="s">
        <v>224</v>
      </c>
      <c r="J7" s="6">
        <f>COUNTIF(Aureus_ec[Module],Table13[[#This Row],[Module]])</f>
        <v>21</v>
      </c>
      <c r="K7" s="19">
        <f t="shared" si="0"/>
        <v>0.16666666666666666</v>
      </c>
    </row>
    <row r="8" spans="1:11" x14ac:dyDescent="0.25">
      <c r="A8" s="7">
        <v>87</v>
      </c>
      <c r="B8" s="7" t="s">
        <v>77</v>
      </c>
      <c r="C8" s="7" t="s">
        <v>223</v>
      </c>
      <c r="E8">
        <v>130</v>
      </c>
      <c r="F8" t="s">
        <v>545</v>
      </c>
      <c r="G8" t="s">
        <v>546</v>
      </c>
      <c r="I8" s="7" t="s">
        <v>222</v>
      </c>
      <c r="J8" s="6">
        <f>COUNTIF(Aureus_ec[Module],Table13[[#This Row],[Module]])</f>
        <v>9</v>
      </c>
      <c r="K8" s="19">
        <f t="shared" si="0"/>
        <v>7.1428571428571425E-2</v>
      </c>
    </row>
    <row r="9" spans="1:11" x14ac:dyDescent="0.25">
      <c r="A9" s="7">
        <v>27</v>
      </c>
      <c r="B9" s="7" t="s">
        <v>24</v>
      </c>
      <c r="C9" s="7" t="s">
        <v>225</v>
      </c>
      <c r="E9">
        <v>158</v>
      </c>
      <c r="F9" t="s">
        <v>315</v>
      </c>
      <c r="G9" t="s">
        <v>316</v>
      </c>
      <c r="I9" s="7" t="s">
        <v>223</v>
      </c>
      <c r="J9" s="6">
        <f>COUNTIF(Aureus_ec[Module],Table13[[#This Row],[Module]])</f>
        <v>8</v>
      </c>
      <c r="K9" s="19">
        <f t="shared" si="0"/>
        <v>6.3492063492063489E-2</v>
      </c>
    </row>
    <row r="10" spans="1:11" x14ac:dyDescent="0.25">
      <c r="A10" s="7">
        <v>50</v>
      </c>
      <c r="B10" s="7" t="s">
        <v>42</v>
      </c>
      <c r="C10" s="7" t="s">
        <v>221</v>
      </c>
      <c r="E10">
        <v>162</v>
      </c>
      <c r="F10" t="s">
        <v>547</v>
      </c>
      <c r="G10" t="s">
        <v>548</v>
      </c>
      <c r="J10">
        <f>SUBTOTAL(109,Table13[Count])</f>
        <v>126</v>
      </c>
      <c r="K10">
        <f>SUBTOTAL(109,Table13[Percentage])</f>
        <v>0.99999999999999989</v>
      </c>
    </row>
    <row r="11" spans="1:11" x14ac:dyDescent="0.25">
      <c r="A11" s="7">
        <v>91</v>
      </c>
      <c r="B11" s="7" t="s">
        <v>81</v>
      </c>
      <c r="C11" s="7" t="s">
        <v>221</v>
      </c>
      <c r="E11">
        <v>177</v>
      </c>
      <c r="F11" t="s">
        <v>501</v>
      </c>
      <c r="G11" t="s">
        <v>502</v>
      </c>
    </row>
    <row r="12" spans="1:11" x14ac:dyDescent="0.25">
      <c r="A12" s="7">
        <v>44</v>
      </c>
      <c r="B12" s="7" t="s">
        <v>37</v>
      </c>
      <c r="C12" s="7" t="s">
        <v>223</v>
      </c>
      <c r="E12">
        <v>189</v>
      </c>
      <c r="F12" t="s">
        <v>387</v>
      </c>
      <c r="G12" t="s">
        <v>388</v>
      </c>
    </row>
    <row r="13" spans="1:11" x14ac:dyDescent="0.25">
      <c r="A13" s="7">
        <v>28</v>
      </c>
      <c r="B13" s="7" t="s">
        <v>25</v>
      </c>
      <c r="C13" s="7" t="s">
        <v>221</v>
      </c>
      <c r="E13">
        <v>200</v>
      </c>
      <c r="F13" t="s">
        <v>425</v>
      </c>
      <c r="G13" t="s">
        <v>426</v>
      </c>
    </row>
    <row r="14" spans="1:11" x14ac:dyDescent="0.25">
      <c r="A14" s="7">
        <v>81</v>
      </c>
      <c r="B14" s="7" t="s">
        <v>71</v>
      </c>
      <c r="C14" s="7" t="s">
        <v>224</v>
      </c>
      <c r="E14">
        <v>230</v>
      </c>
      <c r="F14" t="s">
        <v>395</v>
      </c>
      <c r="G14" t="s">
        <v>396</v>
      </c>
    </row>
    <row r="15" spans="1:11" x14ac:dyDescent="0.25">
      <c r="A15" s="7">
        <v>51</v>
      </c>
      <c r="B15" s="7" t="s">
        <v>43</v>
      </c>
      <c r="C15" s="7" t="s">
        <v>219</v>
      </c>
      <c r="E15">
        <v>253</v>
      </c>
      <c r="F15" t="s">
        <v>549</v>
      </c>
      <c r="G15" t="s">
        <v>550</v>
      </c>
    </row>
    <row r="16" spans="1:11" x14ac:dyDescent="0.25">
      <c r="A16" s="7">
        <v>30</v>
      </c>
      <c r="B16" s="7" t="s">
        <v>27</v>
      </c>
      <c r="C16" s="7"/>
      <c r="E16">
        <v>256</v>
      </c>
      <c r="F16" t="s">
        <v>551</v>
      </c>
      <c r="G16" t="s">
        <v>552</v>
      </c>
    </row>
    <row r="17" spans="1:7" x14ac:dyDescent="0.25">
      <c r="A17" s="7">
        <v>82</v>
      </c>
      <c r="B17" s="7" t="s">
        <v>72</v>
      </c>
      <c r="C17" s="7" t="s">
        <v>225</v>
      </c>
      <c r="E17">
        <v>256</v>
      </c>
      <c r="F17" t="s">
        <v>551</v>
      </c>
      <c r="G17" t="s">
        <v>552</v>
      </c>
    </row>
    <row r="18" spans="1:7" x14ac:dyDescent="0.25">
      <c r="A18" s="7">
        <v>65</v>
      </c>
      <c r="B18" s="7" t="s">
        <v>57</v>
      </c>
      <c r="C18" s="7" t="s">
        <v>224</v>
      </c>
      <c r="E18">
        <v>256</v>
      </c>
      <c r="F18" t="s">
        <v>551</v>
      </c>
      <c r="G18" t="s">
        <v>552</v>
      </c>
    </row>
    <row r="19" spans="1:7" x14ac:dyDescent="0.25">
      <c r="A19" s="7">
        <v>59</v>
      </c>
      <c r="B19" s="7" t="s">
        <v>51</v>
      </c>
      <c r="C19" s="7" t="s">
        <v>225</v>
      </c>
      <c r="E19">
        <v>260</v>
      </c>
      <c r="F19" t="s">
        <v>553</v>
      </c>
      <c r="G19" t="s">
        <v>554</v>
      </c>
    </row>
    <row r="20" spans="1:7" x14ac:dyDescent="0.25">
      <c r="A20" s="7">
        <v>77</v>
      </c>
      <c r="B20" s="7" t="s">
        <v>69</v>
      </c>
      <c r="C20" s="7" t="s">
        <v>221</v>
      </c>
      <c r="E20">
        <v>272</v>
      </c>
      <c r="F20" t="s">
        <v>555</v>
      </c>
      <c r="G20" t="s">
        <v>556</v>
      </c>
    </row>
    <row r="21" spans="1:7" x14ac:dyDescent="0.25">
      <c r="A21" s="7">
        <v>150</v>
      </c>
      <c r="B21" s="7" t="s">
        <v>126</v>
      </c>
      <c r="C21" s="7"/>
      <c r="E21">
        <v>310</v>
      </c>
      <c r="F21" t="s">
        <v>557</v>
      </c>
      <c r="G21" t="s">
        <v>558</v>
      </c>
    </row>
    <row r="22" spans="1:7" x14ac:dyDescent="0.25">
      <c r="A22" s="7">
        <v>151</v>
      </c>
      <c r="B22" s="7" t="s">
        <v>127</v>
      </c>
      <c r="C22" s="7"/>
      <c r="E22">
        <v>332</v>
      </c>
      <c r="F22" t="s">
        <v>365</v>
      </c>
      <c r="G22" t="s">
        <v>366</v>
      </c>
    </row>
    <row r="23" spans="1:7" x14ac:dyDescent="0.25">
      <c r="A23" s="7">
        <v>67</v>
      </c>
      <c r="B23" s="7" t="s">
        <v>59</v>
      </c>
      <c r="C23" s="7" t="s">
        <v>223</v>
      </c>
      <c r="E23">
        <v>335</v>
      </c>
      <c r="F23" t="s">
        <v>559</v>
      </c>
      <c r="G23" t="s">
        <v>560</v>
      </c>
    </row>
    <row r="24" spans="1:7" x14ac:dyDescent="0.25">
      <c r="A24" s="7">
        <v>41</v>
      </c>
      <c r="B24" s="7" t="s">
        <v>34</v>
      </c>
      <c r="C24" s="7" t="s">
        <v>223</v>
      </c>
      <c r="E24">
        <v>375</v>
      </c>
      <c r="F24" t="s">
        <v>561</v>
      </c>
      <c r="G24" t="s">
        <v>562</v>
      </c>
    </row>
    <row r="25" spans="1:7" x14ac:dyDescent="0.25">
      <c r="A25" s="7">
        <v>113</v>
      </c>
      <c r="B25" s="7" t="s">
        <v>101</v>
      </c>
      <c r="C25" s="7" t="s">
        <v>223</v>
      </c>
      <c r="E25">
        <v>376</v>
      </c>
      <c r="F25" t="s">
        <v>563</v>
      </c>
      <c r="G25" t="s">
        <v>562</v>
      </c>
    </row>
    <row r="26" spans="1:7" x14ac:dyDescent="0.25">
      <c r="A26" s="7">
        <v>22</v>
      </c>
      <c r="B26" s="7" t="s">
        <v>19</v>
      </c>
      <c r="C26" s="7" t="s">
        <v>222</v>
      </c>
      <c r="E26">
        <v>377</v>
      </c>
      <c r="F26" t="s">
        <v>564</v>
      </c>
      <c r="G26" t="s">
        <v>562</v>
      </c>
    </row>
    <row r="27" spans="1:7" x14ac:dyDescent="0.25">
      <c r="A27" s="7">
        <v>80</v>
      </c>
      <c r="B27" s="7" t="s">
        <v>70</v>
      </c>
      <c r="C27" s="7"/>
      <c r="E27">
        <v>378</v>
      </c>
      <c r="F27" t="s">
        <v>565</v>
      </c>
      <c r="G27" t="s">
        <v>562</v>
      </c>
    </row>
    <row r="28" spans="1:7" x14ac:dyDescent="0.25">
      <c r="A28" s="7">
        <v>63</v>
      </c>
      <c r="B28" s="7" t="s">
        <v>55</v>
      </c>
      <c r="C28" s="7" t="s">
        <v>225</v>
      </c>
      <c r="E28">
        <v>379</v>
      </c>
      <c r="F28" t="s">
        <v>566</v>
      </c>
      <c r="G28" t="s">
        <v>567</v>
      </c>
    </row>
    <row r="29" spans="1:7" x14ac:dyDescent="0.25">
      <c r="A29" s="7">
        <v>13</v>
      </c>
      <c r="B29" s="7" t="s">
        <v>10</v>
      </c>
      <c r="C29" s="7" t="s">
        <v>225</v>
      </c>
      <c r="E29">
        <v>382</v>
      </c>
      <c r="F29" t="s">
        <v>568</v>
      </c>
      <c r="G29" t="s">
        <v>569</v>
      </c>
    </row>
    <row r="30" spans="1:7" x14ac:dyDescent="0.25">
      <c r="A30" s="7">
        <v>14</v>
      </c>
      <c r="B30" s="7" t="s">
        <v>11</v>
      </c>
      <c r="C30" s="7" t="s">
        <v>224</v>
      </c>
      <c r="E30">
        <v>405</v>
      </c>
      <c r="F30" t="s">
        <v>570</v>
      </c>
      <c r="G30" t="s">
        <v>571</v>
      </c>
    </row>
    <row r="31" spans="1:7" x14ac:dyDescent="0.25">
      <c r="A31" s="7">
        <v>84</v>
      </c>
      <c r="B31" s="7" t="s">
        <v>74</v>
      </c>
      <c r="C31" s="7" t="s">
        <v>219</v>
      </c>
      <c r="E31">
        <v>416</v>
      </c>
      <c r="F31" t="s">
        <v>572</v>
      </c>
      <c r="G31" t="s">
        <v>573</v>
      </c>
    </row>
    <row r="32" spans="1:7" x14ac:dyDescent="0.25">
      <c r="A32" s="7">
        <v>72</v>
      </c>
      <c r="B32" s="7" t="s">
        <v>65</v>
      </c>
      <c r="C32" s="7" t="s">
        <v>229</v>
      </c>
      <c r="E32">
        <v>429</v>
      </c>
      <c r="F32" t="s">
        <v>574</v>
      </c>
      <c r="G32" t="s">
        <v>575</v>
      </c>
    </row>
    <row r="33" spans="1:7" x14ac:dyDescent="0.25">
      <c r="A33" s="7">
        <v>117</v>
      </c>
      <c r="B33" s="7" t="s">
        <v>105</v>
      </c>
      <c r="C33" s="7" t="s">
        <v>219</v>
      </c>
      <c r="E33">
        <v>430</v>
      </c>
      <c r="F33" t="s">
        <v>427</v>
      </c>
      <c r="G33" t="s">
        <v>428</v>
      </c>
    </row>
    <row r="34" spans="1:7" x14ac:dyDescent="0.25">
      <c r="A34" s="7">
        <v>108</v>
      </c>
      <c r="B34" s="7" t="s">
        <v>96</v>
      </c>
      <c r="C34" s="7" t="s">
        <v>224</v>
      </c>
      <c r="E34">
        <v>435</v>
      </c>
      <c r="F34" t="s">
        <v>576</v>
      </c>
      <c r="G34" t="s">
        <v>577</v>
      </c>
    </row>
    <row r="35" spans="1:7" x14ac:dyDescent="0.25">
      <c r="A35" s="7">
        <v>131</v>
      </c>
      <c r="B35" s="7" t="s">
        <v>113</v>
      </c>
      <c r="C35" s="7" t="s">
        <v>221</v>
      </c>
      <c r="E35">
        <v>441</v>
      </c>
      <c r="F35" t="s">
        <v>578</v>
      </c>
      <c r="G35" t="s">
        <v>577</v>
      </c>
    </row>
    <row r="36" spans="1:7" x14ac:dyDescent="0.25">
      <c r="A36" s="7">
        <v>135</v>
      </c>
      <c r="B36" s="7" t="s">
        <v>117</v>
      </c>
      <c r="C36" s="7" t="s">
        <v>221</v>
      </c>
      <c r="E36">
        <v>442</v>
      </c>
      <c r="F36" t="s">
        <v>579</v>
      </c>
      <c r="G36" t="s">
        <v>577</v>
      </c>
    </row>
    <row r="37" spans="1:7" x14ac:dyDescent="0.25">
      <c r="A37" s="7">
        <v>112</v>
      </c>
      <c r="B37" s="7" t="s">
        <v>100</v>
      </c>
      <c r="C37" s="7" t="s">
        <v>221</v>
      </c>
      <c r="E37">
        <v>443</v>
      </c>
      <c r="F37" t="s">
        <v>580</v>
      </c>
      <c r="G37" t="s">
        <v>577</v>
      </c>
    </row>
    <row r="38" spans="1:7" x14ac:dyDescent="0.25">
      <c r="A38" s="7">
        <v>43</v>
      </c>
      <c r="B38" s="7" t="s">
        <v>36</v>
      </c>
      <c r="C38" s="7" t="s">
        <v>224</v>
      </c>
      <c r="E38">
        <v>444</v>
      </c>
      <c r="F38" t="s">
        <v>581</v>
      </c>
      <c r="G38" t="s">
        <v>577</v>
      </c>
    </row>
    <row r="39" spans="1:7" x14ac:dyDescent="0.25">
      <c r="A39" s="7">
        <v>110</v>
      </c>
      <c r="B39" s="7" t="s">
        <v>98</v>
      </c>
      <c r="C39" s="7" t="s">
        <v>224</v>
      </c>
      <c r="E39">
        <v>512</v>
      </c>
      <c r="F39" t="s">
        <v>311</v>
      </c>
      <c r="G39" t="s">
        <v>312</v>
      </c>
    </row>
    <row r="40" spans="1:7" x14ac:dyDescent="0.25">
      <c r="A40" s="7">
        <v>134</v>
      </c>
      <c r="B40" s="7" t="s">
        <v>116</v>
      </c>
      <c r="C40" s="7" t="s">
        <v>224</v>
      </c>
      <c r="E40">
        <v>551</v>
      </c>
      <c r="F40" t="s">
        <v>582</v>
      </c>
      <c r="G40" t="s">
        <v>583</v>
      </c>
    </row>
    <row r="41" spans="1:7" x14ac:dyDescent="0.25">
      <c r="A41" s="7">
        <v>111</v>
      </c>
      <c r="B41" s="7" t="s">
        <v>99</v>
      </c>
      <c r="C41" s="7" t="s">
        <v>221</v>
      </c>
      <c r="E41">
        <v>571</v>
      </c>
      <c r="F41" t="s">
        <v>317</v>
      </c>
      <c r="G41" t="s">
        <v>318</v>
      </c>
    </row>
    <row r="42" spans="1:7" x14ac:dyDescent="0.25">
      <c r="A42" s="7">
        <v>94</v>
      </c>
      <c r="B42" s="7" t="s">
        <v>83</v>
      </c>
      <c r="C42" s="7" t="s">
        <v>219</v>
      </c>
      <c r="E42">
        <v>572</v>
      </c>
      <c r="F42" t="s">
        <v>584</v>
      </c>
      <c r="G42" t="s">
        <v>585</v>
      </c>
    </row>
    <row r="43" spans="1:7" x14ac:dyDescent="0.25">
      <c r="A43" s="7">
        <v>29</v>
      </c>
      <c r="B43" s="7" t="s">
        <v>26</v>
      </c>
      <c r="C43" s="7"/>
      <c r="E43">
        <v>573</v>
      </c>
      <c r="F43" t="s">
        <v>319</v>
      </c>
      <c r="G43" t="s">
        <v>320</v>
      </c>
    </row>
    <row r="44" spans="1:7" x14ac:dyDescent="0.25">
      <c r="A44" s="7">
        <v>33</v>
      </c>
      <c r="B44" s="7" t="s">
        <v>28</v>
      </c>
      <c r="C44" s="7" t="s">
        <v>222</v>
      </c>
      <c r="E44">
        <v>575</v>
      </c>
      <c r="F44" t="s">
        <v>586</v>
      </c>
      <c r="G44" t="s">
        <v>587</v>
      </c>
    </row>
    <row r="45" spans="1:7" x14ac:dyDescent="0.25">
      <c r="A45" s="7">
        <v>88</v>
      </c>
      <c r="B45" s="7" t="s">
        <v>78</v>
      </c>
      <c r="C45" s="7" t="s">
        <v>225</v>
      </c>
      <c r="E45">
        <v>658</v>
      </c>
      <c r="F45" t="s">
        <v>476</v>
      </c>
      <c r="G45" t="s">
        <v>478</v>
      </c>
    </row>
    <row r="46" spans="1:7" x14ac:dyDescent="0.25">
      <c r="A46" s="7">
        <v>24</v>
      </c>
      <c r="B46" s="7" t="s">
        <v>21</v>
      </c>
      <c r="C46" s="7" t="s">
        <v>229</v>
      </c>
      <c r="E46">
        <v>659</v>
      </c>
      <c r="F46" t="s">
        <v>588</v>
      </c>
      <c r="G46" t="s">
        <v>589</v>
      </c>
    </row>
    <row r="47" spans="1:7" x14ac:dyDescent="0.25">
      <c r="A47" s="7">
        <v>139</v>
      </c>
      <c r="B47" s="7" t="s">
        <v>121</v>
      </c>
      <c r="C47" s="7" t="s">
        <v>225</v>
      </c>
      <c r="E47">
        <v>660</v>
      </c>
      <c r="F47" t="s">
        <v>590</v>
      </c>
      <c r="G47" t="s">
        <v>591</v>
      </c>
    </row>
    <row r="48" spans="1:7" x14ac:dyDescent="0.25">
      <c r="A48" s="7">
        <v>64</v>
      </c>
      <c r="B48" s="7" t="s">
        <v>56</v>
      </c>
      <c r="C48" s="7" t="s">
        <v>225</v>
      </c>
      <c r="E48">
        <v>724</v>
      </c>
      <c r="F48" t="s">
        <v>592</v>
      </c>
      <c r="G48" t="s">
        <v>593</v>
      </c>
    </row>
    <row r="49" spans="1:7" x14ac:dyDescent="0.25">
      <c r="A49" s="7">
        <v>8</v>
      </c>
      <c r="B49" s="7" t="s">
        <v>5</v>
      </c>
      <c r="C49" s="7" t="s">
        <v>225</v>
      </c>
      <c r="E49">
        <v>742</v>
      </c>
      <c r="F49" t="s">
        <v>594</v>
      </c>
      <c r="G49" t="s">
        <v>595</v>
      </c>
    </row>
    <row r="50" spans="1:7" x14ac:dyDescent="0.25">
      <c r="A50" s="7">
        <v>11</v>
      </c>
      <c r="B50" s="7" t="s">
        <v>8</v>
      </c>
      <c r="C50" s="7" t="s">
        <v>221</v>
      </c>
      <c r="E50">
        <v>756</v>
      </c>
      <c r="F50" t="s">
        <v>596</v>
      </c>
      <c r="G50" t="s">
        <v>597</v>
      </c>
    </row>
    <row r="51" spans="1:7" x14ac:dyDescent="0.25">
      <c r="A51" s="7">
        <v>16</v>
      </c>
      <c r="B51" s="7" t="s">
        <v>13</v>
      </c>
      <c r="C51" s="7" t="s">
        <v>224</v>
      </c>
      <c r="E51">
        <v>767</v>
      </c>
      <c r="F51" t="s">
        <v>598</v>
      </c>
      <c r="G51" t="s">
        <v>599</v>
      </c>
    </row>
    <row r="52" spans="1:7" x14ac:dyDescent="0.25">
      <c r="A52" s="7">
        <v>102</v>
      </c>
      <c r="B52" s="7" t="s">
        <v>91</v>
      </c>
      <c r="C52" s="7" t="s">
        <v>225</v>
      </c>
      <c r="E52">
        <v>768</v>
      </c>
      <c r="F52" t="s">
        <v>600</v>
      </c>
      <c r="G52" t="s">
        <v>601</v>
      </c>
    </row>
    <row r="53" spans="1:7" x14ac:dyDescent="0.25">
      <c r="A53" s="7">
        <v>10</v>
      </c>
      <c r="B53" s="7" t="s">
        <v>7</v>
      </c>
      <c r="C53" s="7" t="s">
        <v>221</v>
      </c>
      <c r="E53">
        <v>769</v>
      </c>
      <c r="F53" t="s">
        <v>602</v>
      </c>
      <c r="G53" t="s">
        <v>603</v>
      </c>
    </row>
    <row r="54" spans="1:7" x14ac:dyDescent="0.25">
      <c r="A54" s="7">
        <v>52</v>
      </c>
      <c r="B54" s="7" t="s">
        <v>44</v>
      </c>
      <c r="C54" s="7" t="s">
        <v>224</v>
      </c>
      <c r="E54">
        <v>770</v>
      </c>
      <c r="F54" t="s">
        <v>604</v>
      </c>
      <c r="G54" t="s">
        <v>605</v>
      </c>
    </row>
    <row r="55" spans="1:7" x14ac:dyDescent="0.25">
      <c r="A55" s="7">
        <v>26</v>
      </c>
      <c r="B55" s="7" t="s">
        <v>23</v>
      </c>
      <c r="C55" s="7" t="s">
        <v>223</v>
      </c>
      <c r="E55">
        <v>771</v>
      </c>
      <c r="F55" t="s">
        <v>470</v>
      </c>
      <c r="G55" t="s">
        <v>471</v>
      </c>
    </row>
    <row r="56" spans="1:7" x14ac:dyDescent="0.25">
      <c r="A56" s="7">
        <v>20</v>
      </c>
      <c r="B56" s="7" t="s">
        <v>17</v>
      </c>
      <c r="C56" s="7"/>
      <c r="E56">
        <v>835</v>
      </c>
      <c r="F56" t="s">
        <v>606</v>
      </c>
      <c r="G56" t="s">
        <v>607</v>
      </c>
    </row>
    <row r="57" spans="1:7" x14ac:dyDescent="0.25">
      <c r="A57" s="7">
        <v>5</v>
      </c>
      <c r="B57" s="7" t="s">
        <v>2</v>
      </c>
      <c r="C57" s="7" t="s">
        <v>229</v>
      </c>
      <c r="E57">
        <v>842</v>
      </c>
      <c r="F57" t="s">
        <v>506</v>
      </c>
      <c r="G57" t="s">
        <v>507</v>
      </c>
    </row>
    <row r="58" spans="1:7" x14ac:dyDescent="0.25">
      <c r="A58" s="7">
        <v>0</v>
      </c>
      <c r="B58" s="7" t="s">
        <v>0</v>
      </c>
      <c r="C58" s="7"/>
      <c r="E58">
        <v>844</v>
      </c>
      <c r="F58" t="s">
        <v>608</v>
      </c>
      <c r="G58" t="s">
        <v>609</v>
      </c>
    </row>
    <row r="59" spans="1:7" x14ac:dyDescent="0.25">
      <c r="A59" s="7">
        <v>56</v>
      </c>
      <c r="B59" s="7" t="s">
        <v>48</v>
      </c>
      <c r="C59" s="7"/>
      <c r="E59">
        <v>856</v>
      </c>
      <c r="F59" t="s">
        <v>610</v>
      </c>
      <c r="G59" t="s">
        <v>611</v>
      </c>
    </row>
    <row r="60" spans="1:7" x14ac:dyDescent="0.25">
      <c r="A60" s="7">
        <v>74</v>
      </c>
      <c r="B60" s="7" t="s">
        <v>67</v>
      </c>
      <c r="C60" s="7" t="s">
        <v>223</v>
      </c>
      <c r="E60">
        <v>900</v>
      </c>
      <c r="F60" t="s">
        <v>612</v>
      </c>
      <c r="G60" t="s">
        <v>613</v>
      </c>
    </row>
    <row r="61" spans="1:7" x14ac:dyDescent="0.25">
      <c r="A61" s="7">
        <v>128</v>
      </c>
      <c r="B61" s="7" t="s">
        <v>111</v>
      </c>
      <c r="C61" s="7" t="s">
        <v>224</v>
      </c>
      <c r="E61">
        <v>921</v>
      </c>
      <c r="F61" t="s">
        <v>397</v>
      </c>
      <c r="G61" t="s">
        <v>398</v>
      </c>
    </row>
    <row r="62" spans="1:7" x14ac:dyDescent="0.25">
      <c r="A62" s="7">
        <v>12</v>
      </c>
      <c r="B62" s="7" t="s">
        <v>9</v>
      </c>
      <c r="C62" s="7"/>
      <c r="E62">
        <v>936</v>
      </c>
      <c r="F62" t="s">
        <v>614</v>
      </c>
      <c r="G62" t="s">
        <v>615</v>
      </c>
    </row>
    <row r="63" spans="1:7" x14ac:dyDescent="0.25">
      <c r="A63" s="7">
        <v>49</v>
      </c>
      <c r="B63" s="7" t="s">
        <v>41</v>
      </c>
      <c r="C63" s="7"/>
      <c r="E63">
        <v>937</v>
      </c>
      <c r="F63" t="s">
        <v>616</v>
      </c>
      <c r="G63" t="s">
        <v>617</v>
      </c>
    </row>
    <row r="64" spans="1:7" x14ac:dyDescent="0.25">
      <c r="A64" s="7">
        <v>60</v>
      </c>
      <c r="B64" s="7" t="s">
        <v>52</v>
      </c>
      <c r="C64" s="7" t="s">
        <v>225</v>
      </c>
      <c r="E64">
        <v>939</v>
      </c>
      <c r="F64" t="s">
        <v>331</v>
      </c>
      <c r="G64" t="s">
        <v>332</v>
      </c>
    </row>
    <row r="65" spans="1:7" x14ac:dyDescent="0.25">
      <c r="A65" s="7">
        <v>137</v>
      </c>
      <c r="B65" s="7" t="s">
        <v>119</v>
      </c>
      <c r="C65" s="7" t="s">
        <v>219</v>
      </c>
      <c r="E65">
        <v>940</v>
      </c>
      <c r="F65" t="s">
        <v>618</v>
      </c>
      <c r="G65" t="s">
        <v>619</v>
      </c>
    </row>
    <row r="66" spans="1:7" x14ac:dyDescent="0.25">
      <c r="A66" s="7">
        <v>97</v>
      </c>
      <c r="B66" s="7" t="s">
        <v>86</v>
      </c>
      <c r="C66" s="7" t="s">
        <v>225</v>
      </c>
      <c r="E66">
        <v>942</v>
      </c>
      <c r="F66" t="s">
        <v>347</v>
      </c>
      <c r="G66" t="s">
        <v>348</v>
      </c>
    </row>
    <row r="67" spans="1:7" x14ac:dyDescent="0.25">
      <c r="A67" s="7">
        <v>125</v>
      </c>
      <c r="B67" s="7" t="s">
        <v>110</v>
      </c>
      <c r="C67" s="7" t="s">
        <v>222</v>
      </c>
      <c r="E67">
        <v>959</v>
      </c>
      <c r="F67" t="s">
        <v>475</v>
      </c>
      <c r="G67" t="s">
        <v>468</v>
      </c>
    </row>
    <row r="68" spans="1:7" x14ac:dyDescent="0.25">
      <c r="A68" s="7">
        <v>21</v>
      </c>
      <c r="B68" s="7" t="s">
        <v>18</v>
      </c>
      <c r="C68" s="7"/>
      <c r="E68">
        <v>965</v>
      </c>
      <c r="F68" t="s">
        <v>620</v>
      </c>
      <c r="G68" t="s">
        <v>249</v>
      </c>
    </row>
    <row r="69" spans="1:7" x14ac:dyDescent="0.25">
      <c r="A69" s="7">
        <v>62</v>
      </c>
      <c r="B69" s="7" t="s">
        <v>54</v>
      </c>
      <c r="C69" s="7" t="s">
        <v>225</v>
      </c>
      <c r="E69">
        <v>1015</v>
      </c>
      <c r="F69" t="s">
        <v>473</v>
      </c>
      <c r="G69" t="s">
        <v>474</v>
      </c>
    </row>
    <row r="70" spans="1:7" x14ac:dyDescent="0.25">
      <c r="A70" s="7">
        <v>23</v>
      </c>
      <c r="B70" s="7" t="s">
        <v>20</v>
      </c>
      <c r="C70" s="7" t="s">
        <v>229</v>
      </c>
      <c r="E70">
        <v>1049</v>
      </c>
      <c r="F70" t="s">
        <v>449</v>
      </c>
      <c r="G70" t="s">
        <v>450</v>
      </c>
    </row>
    <row r="71" spans="1:7" x14ac:dyDescent="0.25">
      <c r="A71" s="7">
        <v>119</v>
      </c>
      <c r="B71" s="7" t="s">
        <v>106</v>
      </c>
      <c r="C71" s="7" t="s">
        <v>224</v>
      </c>
      <c r="E71">
        <v>1056</v>
      </c>
      <c r="F71" t="s">
        <v>484</v>
      </c>
      <c r="G71" t="s">
        <v>481</v>
      </c>
    </row>
    <row r="72" spans="1:7" x14ac:dyDescent="0.25">
      <c r="A72" s="7">
        <v>46</v>
      </c>
      <c r="B72" s="7" t="s">
        <v>39</v>
      </c>
      <c r="C72" s="7"/>
      <c r="E72">
        <v>1057</v>
      </c>
      <c r="F72" t="s">
        <v>483</v>
      </c>
      <c r="G72" t="s">
        <v>484</v>
      </c>
    </row>
    <row r="73" spans="1:7" x14ac:dyDescent="0.25">
      <c r="A73" s="7">
        <v>132</v>
      </c>
      <c r="B73" s="7" t="s">
        <v>114</v>
      </c>
      <c r="C73" s="7" t="s">
        <v>222</v>
      </c>
      <c r="E73">
        <v>1067</v>
      </c>
      <c r="F73" t="s">
        <v>489</v>
      </c>
      <c r="G73" t="s">
        <v>490</v>
      </c>
    </row>
    <row r="74" spans="1:7" x14ac:dyDescent="0.25">
      <c r="A74" s="7">
        <v>15</v>
      </c>
      <c r="B74" s="7" t="s">
        <v>12</v>
      </c>
      <c r="C74" s="7" t="s">
        <v>224</v>
      </c>
      <c r="E74">
        <v>1068</v>
      </c>
      <c r="F74" t="s">
        <v>461</v>
      </c>
      <c r="G74" t="s">
        <v>462</v>
      </c>
    </row>
    <row r="75" spans="1:7" x14ac:dyDescent="0.25">
      <c r="A75" s="7">
        <v>47</v>
      </c>
      <c r="B75" s="7" t="s">
        <v>40</v>
      </c>
      <c r="C75" s="7" t="s">
        <v>224</v>
      </c>
      <c r="E75">
        <v>1070</v>
      </c>
      <c r="F75" t="s">
        <v>463</v>
      </c>
      <c r="G75" t="s">
        <v>462</v>
      </c>
    </row>
    <row r="76" spans="1:7" x14ac:dyDescent="0.25">
      <c r="A76" s="7">
        <v>37</v>
      </c>
      <c r="B76" s="7" t="s">
        <v>31</v>
      </c>
      <c r="C76" s="7" t="s">
        <v>219</v>
      </c>
      <c r="E76">
        <v>1074</v>
      </c>
      <c r="F76" t="s">
        <v>621</v>
      </c>
      <c r="G76" t="s">
        <v>622</v>
      </c>
    </row>
    <row r="77" spans="1:7" x14ac:dyDescent="0.25">
      <c r="A77" s="7">
        <v>36</v>
      </c>
      <c r="B77" s="7" t="s">
        <v>30</v>
      </c>
      <c r="C77" s="7" t="s">
        <v>222</v>
      </c>
      <c r="E77">
        <v>1121</v>
      </c>
      <c r="F77" t="s">
        <v>623</v>
      </c>
      <c r="G77" t="s">
        <v>624</v>
      </c>
    </row>
    <row r="78" spans="1:7" x14ac:dyDescent="0.25">
      <c r="A78" s="7">
        <v>106</v>
      </c>
      <c r="B78" s="7" t="s">
        <v>94</v>
      </c>
      <c r="C78" s="7" t="s">
        <v>224</v>
      </c>
      <c r="E78">
        <v>1123</v>
      </c>
      <c r="F78" t="s">
        <v>625</v>
      </c>
      <c r="G78" t="s">
        <v>626</v>
      </c>
    </row>
    <row r="79" spans="1:7" x14ac:dyDescent="0.25">
      <c r="A79" s="7">
        <v>107</v>
      </c>
      <c r="B79" s="7" t="s">
        <v>95</v>
      </c>
      <c r="C79" s="7" t="s">
        <v>224</v>
      </c>
      <c r="E79">
        <v>1130</v>
      </c>
      <c r="F79" t="s">
        <v>627</v>
      </c>
      <c r="G79" t="s">
        <v>628</v>
      </c>
    </row>
    <row r="80" spans="1:7" x14ac:dyDescent="0.25">
      <c r="A80" s="7">
        <v>85</v>
      </c>
      <c r="B80" s="7" t="s">
        <v>75</v>
      </c>
      <c r="C80" s="7" t="s">
        <v>219</v>
      </c>
      <c r="E80">
        <v>1132</v>
      </c>
      <c r="F80" t="s">
        <v>283</v>
      </c>
      <c r="G80" t="s">
        <v>284</v>
      </c>
    </row>
    <row r="81" spans="1:7" x14ac:dyDescent="0.25">
      <c r="A81" s="7">
        <v>86</v>
      </c>
      <c r="B81" s="7" t="s">
        <v>76</v>
      </c>
      <c r="C81" s="7" t="s">
        <v>219</v>
      </c>
      <c r="E81">
        <v>1138</v>
      </c>
      <c r="F81" t="s">
        <v>429</v>
      </c>
      <c r="G81" t="s">
        <v>430</v>
      </c>
    </row>
    <row r="82" spans="1:7" x14ac:dyDescent="0.25">
      <c r="A82" s="7">
        <v>149</v>
      </c>
      <c r="B82" s="7" t="s">
        <v>125</v>
      </c>
      <c r="C82" s="7" t="s">
        <v>224</v>
      </c>
      <c r="E82">
        <v>1150</v>
      </c>
      <c r="F82" t="s">
        <v>629</v>
      </c>
      <c r="G82" t="s">
        <v>630</v>
      </c>
    </row>
    <row r="83" spans="1:7" x14ac:dyDescent="0.25">
      <c r="A83" s="7">
        <v>54</v>
      </c>
      <c r="B83" s="7" t="s">
        <v>46</v>
      </c>
      <c r="C83" s="7" t="s">
        <v>219</v>
      </c>
      <c r="E83">
        <v>1229</v>
      </c>
      <c r="F83" t="s">
        <v>285</v>
      </c>
      <c r="G83" t="s">
        <v>286</v>
      </c>
    </row>
    <row r="84" spans="1:7" x14ac:dyDescent="0.25">
      <c r="A84" s="7">
        <v>66</v>
      </c>
      <c r="B84" s="7" t="s">
        <v>58</v>
      </c>
      <c r="C84" s="7" t="s">
        <v>221</v>
      </c>
      <c r="E84">
        <v>1230</v>
      </c>
      <c r="F84" t="s">
        <v>631</v>
      </c>
      <c r="G84" t="s">
        <v>632</v>
      </c>
    </row>
    <row r="85" spans="1:7" x14ac:dyDescent="0.25">
      <c r="A85" s="7">
        <v>34</v>
      </c>
      <c r="B85" s="7" t="s">
        <v>29</v>
      </c>
      <c r="C85" s="7" t="s">
        <v>221</v>
      </c>
      <c r="E85">
        <v>1231</v>
      </c>
      <c r="F85" t="s">
        <v>633</v>
      </c>
      <c r="G85" t="s">
        <v>634</v>
      </c>
    </row>
    <row r="86" spans="1:7" x14ac:dyDescent="0.25">
      <c r="A86" s="7">
        <v>140</v>
      </c>
      <c r="B86" s="7" t="s">
        <v>122</v>
      </c>
      <c r="C86" s="7" t="s">
        <v>221</v>
      </c>
      <c r="E86">
        <v>1395</v>
      </c>
      <c r="F86" t="s">
        <v>635</v>
      </c>
      <c r="G86" t="s">
        <v>636</v>
      </c>
    </row>
    <row r="87" spans="1:7" x14ac:dyDescent="0.25">
      <c r="A87" s="7">
        <v>40</v>
      </c>
      <c r="B87" s="7" t="s">
        <v>33</v>
      </c>
      <c r="C87" s="7" t="s">
        <v>221</v>
      </c>
      <c r="E87">
        <v>1397</v>
      </c>
      <c r="F87" t="s">
        <v>637</v>
      </c>
      <c r="G87" t="s">
        <v>638</v>
      </c>
    </row>
    <row r="88" spans="1:7" x14ac:dyDescent="0.25">
      <c r="A88" s="7">
        <v>141</v>
      </c>
      <c r="B88" s="7" t="s">
        <v>123</v>
      </c>
      <c r="C88" s="7" t="s">
        <v>229</v>
      </c>
      <c r="E88">
        <v>1404</v>
      </c>
      <c r="F88" t="s">
        <v>639</v>
      </c>
      <c r="G88" t="s">
        <v>640</v>
      </c>
    </row>
    <row r="89" spans="1:7" x14ac:dyDescent="0.25">
      <c r="A89" s="7">
        <v>144</v>
      </c>
      <c r="B89" s="7" t="s">
        <v>62</v>
      </c>
      <c r="C89" s="7" t="s">
        <v>222</v>
      </c>
      <c r="E89">
        <v>1512</v>
      </c>
      <c r="F89" t="s">
        <v>413</v>
      </c>
      <c r="G89" t="s">
        <v>414</v>
      </c>
    </row>
    <row r="90" spans="1:7" x14ac:dyDescent="0.25">
      <c r="A90" s="7">
        <v>145</v>
      </c>
      <c r="B90" s="7" t="s">
        <v>63</v>
      </c>
      <c r="C90" s="7" t="s">
        <v>222</v>
      </c>
      <c r="E90">
        <v>1516</v>
      </c>
      <c r="F90" t="s">
        <v>641</v>
      </c>
      <c r="G90" t="s">
        <v>642</v>
      </c>
    </row>
    <row r="91" spans="1:7" x14ac:dyDescent="0.25">
      <c r="A91" s="7">
        <v>136</v>
      </c>
      <c r="B91" s="7" t="s">
        <v>118</v>
      </c>
      <c r="C91" s="7" t="s">
        <v>221</v>
      </c>
      <c r="E91">
        <v>1518</v>
      </c>
      <c r="F91" t="s">
        <v>476</v>
      </c>
      <c r="G91" t="s">
        <v>477</v>
      </c>
    </row>
    <row r="92" spans="1:7" x14ac:dyDescent="0.25">
      <c r="A92" s="7">
        <v>138</v>
      </c>
      <c r="B92" s="7" t="s">
        <v>120</v>
      </c>
      <c r="C92" s="7"/>
      <c r="E92">
        <v>1518</v>
      </c>
      <c r="F92" t="s">
        <v>476</v>
      </c>
      <c r="G92" t="s">
        <v>477</v>
      </c>
    </row>
    <row r="93" spans="1:7" x14ac:dyDescent="0.25">
      <c r="A93" s="7">
        <v>114</v>
      </c>
      <c r="B93" s="7" t="s">
        <v>102</v>
      </c>
      <c r="C93" s="7" t="s">
        <v>219</v>
      </c>
      <c r="E93">
        <v>1528</v>
      </c>
      <c r="F93" t="s">
        <v>643</v>
      </c>
      <c r="G93" t="s">
        <v>644</v>
      </c>
    </row>
    <row r="94" spans="1:7" x14ac:dyDescent="0.25">
      <c r="A94" s="7">
        <v>9</v>
      </c>
      <c r="B94" s="7" t="s">
        <v>6</v>
      </c>
      <c r="C94" s="7" t="s">
        <v>219</v>
      </c>
      <c r="E94">
        <v>1529</v>
      </c>
      <c r="F94" t="s">
        <v>481</v>
      </c>
      <c r="G94" t="s">
        <v>482</v>
      </c>
    </row>
    <row r="95" spans="1:7" x14ac:dyDescent="0.25">
      <c r="A95" s="7">
        <v>2</v>
      </c>
      <c r="B95" s="7" t="s">
        <v>1</v>
      </c>
      <c r="C95" s="7" t="s">
        <v>219</v>
      </c>
      <c r="E95">
        <v>1547</v>
      </c>
      <c r="F95" t="s">
        <v>303</v>
      </c>
      <c r="G95" t="s">
        <v>304</v>
      </c>
    </row>
    <row r="96" spans="1:7" x14ac:dyDescent="0.25">
      <c r="A96" s="7">
        <v>100</v>
      </c>
      <c r="B96" s="7" t="s">
        <v>89</v>
      </c>
      <c r="C96" s="7" t="s">
        <v>219</v>
      </c>
      <c r="E96">
        <v>1625</v>
      </c>
      <c r="F96" t="s">
        <v>369</v>
      </c>
      <c r="G96" t="s">
        <v>370</v>
      </c>
    </row>
    <row r="97" spans="1:7" x14ac:dyDescent="0.25">
      <c r="A97" s="7">
        <v>38</v>
      </c>
      <c r="B97" s="7" t="s">
        <v>32</v>
      </c>
      <c r="C97" s="7" t="s">
        <v>219</v>
      </c>
      <c r="E97">
        <v>1626</v>
      </c>
      <c r="F97" t="s">
        <v>645</v>
      </c>
      <c r="G97" t="s">
        <v>646</v>
      </c>
    </row>
    <row r="98" spans="1:7" x14ac:dyDescent="0.25">
      <c r="A98" s="7">
        <v>96</v>
      </c>
      <c r="B98" s="7" t="s">
        <v>85</v>
      </c>
      <c r="C98" s="7" t="s">
        <v>219</v>
      </c>
      <c r="E98">
        <v>1641</v>
      </c>
      <c r="F98" t="s">
        <v>487</v>
      </c>
      <c r="G98" t="s">
        <v>488</v>
      </c>
    </row>
    <row r="99" spans="1:7" x14ac:dyDescent="0.25">
      <c r="A99" s="7">
        <v>73</v>
      </c>
      <c r="B99" s="7" t="s">
        <v>66</v>
      </c>
      <c r="C99" s="7" t="s">
        <v>219</v>
      </c>
      <c r="E99">
        <v>1654</v>
      </c>
      <c r="F99" t="s">
        <v>647</v>
      </c>
      <c r="G99" t="s">
        <v>648</v>
      </c>
    </row>
    <row r="100" spans="1:7" x14ac:dyDescent="0.25">
      <c r="A100" s="7">
        <v>19</v>
      </c>
      <c r="B100" s="7" t="s">
        <v>16</v>
      </c>
      <c r="C100" s="7" t="s">
        <v>219</v>
      </c>
      <c r="E100">
        <v>1665</v>
      </c>
      <c r="F100" t="s">
        <v>313</v>
      </c>
      <c r="G100" t="s">
        <v>314</v>
      </c>
    </row>
    <row r="101" spans="1:7" x14ac:dyDescent="0.25">
      <c r="A101" s="7">
        <v>18</v>
      </c>
      <c r="B101" s="7" t="s">
        <v>15</v>
      </c>
      <c r="C101" s="7" t="s">
        <v>224</v>
      </c>
      <c r="E101">
        <v>1698</v>
      </c>
      <c r="F101" t="s">
        <v>649</v>
      </c>
      <c r="G101" t="s">
        <v>650</v>
      </c>
    </row>
    <row r="102" spans="1:7" x14ac:dyDescent="0.25">
      <c r="A102" s="7">
        <v>25</v>
      </c>
      <c r="B102" s="7" t="s">
        <v>22</v>
      </c>
      <c r="C102" s="7" t="s">
        <v>219</v>
      </c>
      <c r="E102">
        <v>1699</v>
      </c>
      <c r="F102" t="s">
        <v>651</v>
      </c>
      <c r="G102" t="s">
        <v>652</v>
      </c>
    </row>
    <row r="103" spans="1:7" x14ac:dyDescent="0.25">
      <c r="A103" s="7">
        <v>42</v>
      </c>
      <c r="B103" s="7" t="s">
        <v>35</v>
      </c>
      <c r="C103" s="7" t="s">
        <v>219</v>
      </c>
      <c r="E103">
        <v>1701</v>
      </c>
      <c r="F103" t="s">
        <v>653</v>
      </c>
      <c r="G103" t="s">
        <v>654</v>
      </c>
    </row>
    <row r="104" spans="1:7" x14ac:dyDescent="0.25">
      <c r="A104" s="7">
        <v>53</v>
      </c>
      <c r="B104" s="7" t="s">
        <v>45</v>
      </c>
      <c r="C104" s="7" t="s">
        <v>219</v>
      </c>
      <c r="E104">
        <v>1702</v>
      </c>
      <c r="F104" t="s">
        <v>655</v>
      </c>
      <c r="G104" t="s">
        <v>656</v>
      </c>
    </row>
    <row r="105" spans="1:7" x14ac:dyDescent="0.25">
      <c r="A105" s="7">
        <v>101</v>
      </c>
      <c r="B105" s="7" t="s">
        <v>90</v>
      </c>
      <c r="C105" s="7" t="s">
        <v>219</v>
      </c>
      <c r="E105">
        <v>1714</v>
      </c>
      <c r="F105" t="s">
        <v>657</v>
      </c>
      <c r="G105" t="s">
        <v>658</v>
      </c>
    </row>
    <row r="106" spans="1:7" x14ac:dyDescent="0.25">
      <c r="A106" s="7">
        <v>109</v>
      </c>
      <c r="B106" s="7" t="s">
        <v>97</v>
      </c>
      <c r="C106" s="7" t="s">
        <v>219</v>
      </c>
      <c r="E106">
        <v>1724</v>
      </c>
      <c r="F106" t="s">
        <v>659</v>
      </c>
      <c r="G106" t="s">
        <v>660</v>
      </c>
    </row>
    <row r="107" spans="1:7" x14ac:dyDescent="0.25">
      <c r="A107" s="7">
        <v>116</v>
      </c>
      <c r="B107" s="7" t="s">
        <v>104</v>
      </c>
      <c r="C107" s="7" t="s">
        <v>219</v>
      </c>
      <c r="E107">
        <v>1801</v>
      </c>
      <c r="F107" t="s">
        <v>307</v>
      </c>
      <c r="G107" t="s">
        <v>308</v>
      </c>
    </row>
    <row r="108" spans="1:7" x14ac:dyDescent="0.25">
      <c r="A108" s="7">
        <v>58</v>
      </c>
      <c r="B108" s="7" t="s">
        <v>50</v>
      </c>
      <c r="C108" s="7" t="s">
        <v>219</v>
      </c>
      <c r="E108">
        <v>1829</v>
      </c>
      <c r="F108" t="s">
        <v>464</v>
      </c>
      <c r="G108" t="s">
        <v>465</v>
      </c>
    </row>
    <row r="109" spans="1:7" x14ac:dyDescent="0.25">
      <c r="A109" s="7">
        <v>17</v>
      </c>
      <c r="B109" s="7" t="s">
        <v>14</v>
      </c>
      <c r="C109" s="7" t="s">
        <v>219</v>
      </c>
      <c r="E109">
        <v>1830</v>
      </c>
      <c r="F109" t="s">
        <v>491</v>
      </c>
      <c r="G109" t="s">
        <v>490</v>
      </c>
    </row>
    <row r="110" spans="1:7" x14ac:dyDescent="0.25">
      <c r="A110" s="7">
        <v>99</v>
      </c>
      <c r="B110" s="7" t="s">
        <v>88</v>
      </c>
      <c r="C110" s="7" t="s">
        <v>219</v>
      </c>
      <c r="E110">
        <v>1843</v>
      </c>
      <c r="F110" t="s">
        <v>273</v>
      </c>
      <c r="G110" t="s">
        <v>274</v>
      </c>
    </row>
    <row r="111" spans="1:7" x14ac:dyDescent="0.25">
      <c r="A111" s="7">
        <v>105</v>
      </c>
      <c r="B111" s="7" t="s">
        <v>93</v>
      </c>
      <c r="C111" s="7" t="s">
        <v>219</v>
      </c>
      <c r="E111">
        <v>1858</v>
      </c>
      <c r="F111" t="s">
        <v>431</v>
      </c>
      <c r="G111" t="s">
        <v>432</v>
      </c>
    </row>
    <row r="112" spans="1:7" x14ac:dyDescent="0.25">
      <c r="A112" s="7">
        <v>69</v>
      </c>
      <c r="B112" s="7" t="s">
        <v>61</v>
      </c>
      <c r="C112" s="7" t="s">
        <v>221</v>
      </c>
      <c r="E112">
        <v>1870</v>
      </c>
      <c r="F112" t="s">
        <v>661</v>
      </c>
      <c r="G112" t="s">
        <v>662</v>
      </c>
    </row>
    <row r="113" spans="1:7" x14ac:dyDescent="0.25">
      <c r="A113" s="7">
        <v>75</v>
      </c>
      <c r="B113" s="7" t="s">
        <v>68</v>
      </c>
      <c r="C113" s="7" t="s">
        <v>219</v>
      </c>
      <c r="E113">
        <v>1878</v>
      </c>
      <c r="F113" t="s">
        <v>663</v>
      </c>
      <c r="G113" t="s">
        <v>664</v>
      </c>
    </row>
    <row r="114" spans="1:7" x14ac:dyDescent="0.25">
      <c r="A114" s="7">
        <v>123</v>
      </c>
      <c r="B114" s="7" t="s">
        <v>108</v>
      </c>
      <c r="C114" s="7" t="s">
        <v>224</v>
      </c>
      <c r="E114">
        <v>1993</v>
      </c>
      <c r="F114" t="s">
        <v>665</v>
      </c>
      <c r="G114" t="s">
        <v>666</v>
      </c>
    </row>
    <row r="115" spans="1:7" x14ac:dyDescent="0.25">
      <c r="A115" s="7">
        <v>45</v>
      </c>
      <c r="B115" s="7" t="s">
        <v>38</v>
      </c>
      <c r="C115" s="7" t="s">
        <v>219</v>
      </c>
      <c r="E115">
        <v>2016</v>
      </c>
      <c r="F115" t="s">
        <v>667</v>
      </c>
      <c r="G115" t="s">
        <v>668</v>
      </c>
    </row>
    <row r="116" spans="1:7" x14ac:dyDescent="0.25">
      <c r="A116" s="7">
        <v>104</v>
      </c>
      <c r="B116" s="7" t="s">
        <v>92</v>
      </c>
      <c r="C116" s="7" t="s">
        <v>224</v>
      </c>
      <c r="E116">
        <v>2017</v>
      </c>
      <c r="F116" t="s">
        <v>435</v>
      </c>
      <c r="G116" t="s">
        <v>436</v>
      </c>
    </row>
    <row r="117" spans="1:7" x14ac:dyDescent="0.25">
      <c r="A117" s="7">
        <v>129</v>
      </c>
      <c r="B117" s="7" t="s">
        <v>112</v>
      </c>
      <c r="C117" s="7" t="s">
        <v>219</v>
      </c>
      <c r="E117">
        <v>2018</v>
      </c>
      <c r="F117" t="s">
        <v>437</v>
      </c>
      <c r="G117" t="s">
        <v>438</v>
      </c>
    </row>
    <row r="118" spans="1:7" x14ac:dyDescent="0.25">
      <c r="A118" s="7">
        <v>115</v>
      </c>
      <c r="B118" s="7" t="s">
        <v>103</v>
      </c>
      <c r="C118" s="7"/>
      <c r="E118">
        <v>2019</v>
      </c>
      <c r="F118" t="s">
        <v>439</v>
      </c>
      <c r="G118" t="s">
        <v>440</v>
      </c>
    </row>
    <row r="119" spans="1:7" x14ac:dyDescent="0.25">
      <c r="A119" s="7">
        <v>57</v>
      </c>
      <c r="B119" s="7" t="s">
        <v>49</v>
      </c>
      <c r="C119" s="7" t="s">
        <v>219</v>
      </c>
      <c r="E119">
        <v>2024</v>
      </c>
      <c r="F119" t="s">
        <v>441</v>
      </c>
      <c r="G119" t="s">
        <v>442</v>
      </c>
    </row>
    <row r="120" spans="1:7" x14ac:dyDescent="0.25">
      <c r="A120" s="7">
        <v>83</v>
      </c>
      <c r="B120" s="7" t="s">
        <v>73</v>
      </c>
      <c r="C120" s="7" t="s">
        <v>224</v>
      </c>
      <c r="E120">
        <v>2081</v>
      </c>
      <c r="F120" t="s">
        <v>669</v>
      </c>
      <c r="G120" t="s">
        <v>670</v>
      </c>
    </row>
    <row r="121" spans="1:7" x14ac:dyDescent="0.25">
      <c r="A121" s="7">
        <v>133</v>
      </c>
      <c r="B121" s="7" t="s">
        <v>115</v>
      </c>
      <c r="C121" s="7" t="s">
        <v>225</v>
      </c>
      <c r="E121">
        <v>2090</v>
      </c>
      <c r="F121" t="s">
        <v>367</v>
      </c>
      <c r="G121" t="s">
        <v>368</v>
      </c>
    </row>
    <row r="122" spans="1:7" x14ac:dyDescent="0.25">
      <c r="A122" s="7">
        <v>124</v>
      </c>
      <c r="B122" s="7" t="s">
        <v>109</v>
      </c>
      <c r="C122" s="7" t="s">
        <v>224</v>
      </c>
      <c r="E122">
        <v>2094</v>
      </c>
      <c r="F122" t="s">
        <v>335</v>
      </c>
      <c r="G122" t="s">
        <v>336</v>
      </c>
    </row>
    <row r="123" spans="1:7" x14ac:dyDescent="0.25">
      <c r="A123" s="7">
        <v>7</v>
      </c>
      <c r="B123" s="7" t="s">
        <v>4</v>
      </c>
      <c r="C123" s="7" t="s">
        <v>225</v>
      </c>
      <c r="E123">
        <v>2098</v>
      </c>
      <c r="F123" t="s">
        <v>337</v>
      </c>
      <c r="G123" t="s">
        <v>338</v>
      </c>
    </row>
    <row r="124" spans="1:7" x14ac:dyDescent="0.25">
      <c r="A124" s="7">
        <v>61</v>
      </c>
      <c r="B124" s="7" t="s">
        <v>53</v>
      </c>
      <c r="C124" s="7" t="s">
        <v>225</v>
      </c>
      <c r="E124">
        <v>2101</v>
      </c>
      <c r="F124" t="s">
        <v>518</v>
      </c>
      <c r="G124" t="s">
        <v>519</v>
      </c>
    </row>
    <row r="125" spans="1:7" x14ac:dyDescent="0.25">
      <c r="A125" s="7">
        <v>93</v>
      </c>
      <c r="B125" s="7" t="s">
        <v>82</v>
      </c>
      <c r="C125" s="7" t="s">
        <v>222</v>
      </c>
      <c r="E125">
        <v>2142</v>
      </c>
      <c r="F125" t="s">
        <v>287</v>
      </c>
      <c r="G125" t="s">
        <v>288</v>
      </c>
    </row>
    <row r="126" spans="1:7" x14ac:dyDescent="0.25">
      <c r="A126" s="7">
        <v>122</v>
      </c>
      <c r="B126" s="7" t="s">
        <v>107</v>
      </c>
      <c r="C126" s="7"/>
      <c r="E126">
        <v>2235</v>
      </c>
      <c r="F126" t="s">
        <v>333</v>
      </c>
      <c r="G126" t="s">
        <v>334</v>
      </c>
    </row>
    <row r="127" spans="1:7" x14ac:dyDescent="0.25">
      <c r="A127" s="7">
        <v>146</v>
      </c>
      <c r="B127" s="7" t="s">
        <v>64</v>
      </c>
      <c r="C127" s="7" t="s">
        <v>222</v>
      </c>
      <c r="E127">
        <v>2236</v>
      </c>
      <c r="F127" t="s">
        <v>671</v>
      </c>
      <c r="G127" t="s">
        <v>672</v>
      </c>
    </row>
    <row r="128" spans="1:7" x14ac:dyDescent="0.25">
      <c r="E128">
        <v>2237</v>
      </c>
      <c r="F128" t="s">
        <v>349</v>
      </c>
      <c r="G128" t="s">
        <v>350</v>
      </c>
    </row>
    <row r="129" spans="5:7" x14ac:dyDescent="0.25">
      <c r="E129">
        <v>2241</v>
      </c>
      <c r="F129" t="s">
        <v>241</v>
      </c>
      <c r="G129" t="s">
        <v>242</v>
      </c>
    </row>
    <row r="130" spans="5:7" x14ac:dyDescent="0.25">
      <c r="E130">
        <v>2320</v>
      </c>
      <c r="F130" t="s">
        <v>673</v>
      </c>
      <c r="G130" t="s">
        <v>674</v>
      </c>
    </row>
    <row r="131" spans="5:7" x14ac:dyDescent="0.25">
      <c r="E131">
        <v>2404</v>
      </c>
      <c r="F131" t="s">
        <v>675</v>
      </c>
      <c r="G131" t="s">
        <v>676</v>
      </c>
    </row>
    <row r="132" spans="5:7" x14ac:dyDescent="0.25">
      <c r="E132">
        <v>2412</v>
      </c>
      <c r="F132" t="s">
        <v>677</v>
      </c>
      <c r="G132" t="s">
        <v>678</v>
      </c>
    </row>
    <row r="133" spans="5:7" x14ac:dyDescent="0.25">
      <c r="E133">
        <v>2413</v>
      </c>
      <c r="F133" t="s">
        <v>679</v>
      </c>
      <c r="G133" t="s">
        <v>680</v>
      </c>
    </row>
    <row r="134" spans="5:7" x14ac:dyDescent="0.25">
      <c r="E134">
        <v>2485</v>
      </c>
      <c r="F134" t="s">
        <v>681</v>
      </c>
      <c r="G134" t="s">
        <v>682</v>
      </c>
    </row>
    <row r="135" spans="5:7" x14ac:dyDescent="0.25">
      <c r="E135">
        <v>2568</v>
      </c>
      <c r="F135" t="s">
        <v>466</v>
      </c>
      <c r="G135" t="s">
        <v>467</v>
      </c>
    </row>
    <row r="136" spans="5:7" x14ac:dyDescent="0.25">
      <c r="E136">
        <v>2718</v>
      </c>
      <c r="F136" t="s">
        <v>683</v>
      </c>
      <c r="G136" t="s">
        <v>684</v>
      </c>
    </row>
    <row r="137" spans="5:7" x14ac:dyDescent="0.25">
      <c r="E137">
        <v>2736</v>
      </c>
      <c r="F137" t="s">
        <v>685</v>
      </c>
      <c r="G137" t="s">
        <v>607</v>
      </c>
    </row>
    <row r="138" spans="5:7" x14ac:dyDescent="0.25">
      <c r="E138">
        <v>2739</v>
      </c>
      <c r="F138" t="s">
        <v>468</v>
      </c>
      <c r="G138" t="s">
        <v>472</v>
      </c>
    </row>
    <row r="139" spans="5:7" x14ac:dyDescent="0.25">
      <c r="E139">
        <v>2740</v>
      </c>
      <c r="F139" t="s">
        <v>468</v>
      </c>
      <c r="G139" t="s">
        <v>469</v>
      </c>
    </row>
    <row r="140" spans="5:7" x14ac:dyDescent="0.25">
      <c r="E140">
        <v>2760</v>
      </c>
      <c r="F140" t="s">
        <v>686</v>
      </c>
      <c r="G140" t="s">
        <v>687</v>
      </c>
    </row>
    <row r="141" spans="5:7" x14ac:dyDescent="0.25">
      <c r="E141">
        <v>2767</v>
      </c>
      <c r="F141" t="s">
        <v>688</v>
      </c>
      <c r="G141" t="s">
        <v>689</v>
      </c>
    </row>
    <row r="142" spans="5:7" x14ac:dyDescent="0.25">
      <c r="E142">
        <v>2768</v>
      </c>
      <c r="F142" t="s">
        <v>690</v>
      </c>
      <c r="G142" t="s">
        <v>691</v>
      </c>
    </row>
    <row r="143" spans="5:7" x14ac:dyDescent="0.25">
      <c r="E143">
        <v>2783</v>
      </c>
      <c r="F143" t="s">
        <v>692</v>
      </c>
      <c r="G143" t="s">
        <v>693</v>
      </c>
    </row>
    <row r="144" spans="5:7" x14ac:dyDescent="0.25">
      <c r="E144">
        <v>2788</v>
      </c>
      <c r="F144" t="s">
        <v>694</v>
      </c>
      <c r="G144" t="s">
        <v>695</v>
      </c>
    </row>
    <row r="145" spans="5:7" x14ac:dyDescent="0.25">
      <c r="E145">
        <v>2918</v>
      </c>
      <c r="F145" t="s">
        <v>696</v>
      </c>
      <c r="G145" t="s">
        <v>697</v>
      </c>
    </row>
    <row r="146" spans="5:7" x14ac:dyDescent="0.25">
      <c r="E146">
        <v>2971</v>
      </c>
      <c r="F146" t="s">
        <v>698</v>
      </c>
      <c r="G146" t="s">
        <v>699</v>
      </c>
    </row>
    <row r="147" spans="5:7" x14ac:dyDescent="0.25">
      <c r="E147">
        <v>3018</v>
      </c>
      <c r="F147" t="s">
        <v>700</v>
      </c>
      <c r="G147" t="s">
        <v>701</v>
      </c>
    </row>
    <row r="148" spans="5:7" x14ac:dyDescent="0.25">
      <c r="E148">
        <v>3020</v>
      </c>
      <c r="F148" t="s">
        <v>702</v>
      </c>
      <c r="G148" t="s">
        <v>703</v>
      </c>
    </row>
    <row r="149" spans="5:7" x14ac:dyDescent="0.25">
      <c r="E149">
        <v>3035</v>
      </c>
      <c r="F149" t="s">
        <v>704</v>
      </c>
      <c r="G149" t="s">
        <v>705</v>
      </c>
    </row>
    <row r="150" spans="5:7" x14ac:dyDescent="0.25">
      <c r="E150">
        <v>3038</v>
      </c>
      <c r="F150" t="s">
        <v>706</v>
      </c>
      <c r="G150" t="s">
        <v>707</v>
      </c>
    </row>
    <row r="151" spans="5:7" x14ac:dyDescent="0.25">
      <c r="E151">
        <v>3066</v>
      </c>
      <c r="F151" t="s">
        <v>708</v>
      </c>
      <c r="G151" t="s">
        <v>709</v>
      </c>
    </row>
    <row r="152" spans="5:7" x14ac:dyDescent="0.25">
      <c r="E152">
        <v>3067</v>
      </c>
      <c r="F152" t="s">
        <v>710</v>
      </c>
      <c r="G152" t="s">
        <v>711</v>
      </c>
    </row>
    <row r="153" spans="5:7" x14ac:dyDescent="0.25">
      <c r="E153">
        <v>3083</v>
      </c>
      <c r="F153" t="s">
        <v>712</v>
      </c>
      <c r="G153" t="s">
        <v>713</v>
      </c>
    </row>
    <row r="154" spans="5:7" x14ac:dyDescent="0.25">
      <c r="E154">
        <v>3084</v>
      </c>
      <c r="F154" t="s">
        <v>714</v>
      </c>
      <c r="G154" t="s">
        <v>715</v>
      </c>
    </row>
    <row r="155" spans="5:7" x14ac:dyDescent="0.25">
      <c r="E155">
        <v>3165</v>
      </c>
      <c r="F155" t="s">
        <v>716</v>
      </c>
      <c r="G155" t="s">
        <v>717</v>
      </c>
    </row>
    <row r="156" spans="5:7" x14ac:dyDescent="0.25">
      <c r="E156">
        <v>3191</v>
      </c>
      <c r="F156" t="s">
        <v>718</v>
      </c>
      <c r="G156" t="s">
        <v>719</v>
      </c>
    </row>
    <row r="157" spans="5:7" x14ac:dyDescent="0.25">
      <c r="E157">
        <v>3192</v>
      </c>
      <c r="F157" t="s">
        <v>720</v>
      </c>
      <c r="G157" t="s">
        <v>721</v>
      </c>
    </row>
    <row r="158" spans="5:7" x14ac:dyDescent="0.25">
      <c r="E158">
        <v>3193</v>
      </c>
      <c r="F158" t="s">
        <v>722</v>
      </c>
      <c r="G158" t="s">
        <v>723</v>
      </c>
    </row>
    <row r="159" spans="5:7" x14ac:dyDescent="0.25">
      <c r="E159">
        <v>3197</v>
      </c>
      <c r="F159" t="s">
        <v>717</v>
      </c>
      <c r="G159" t="s">
        <v>724</v>
      </c>
    </row>
    <row r="160" spans="5:7" x14ac:dyDescent="0.25">
      <c r="E160">
        <v>3236</v>
      </c>
      <c r="F160" t="s">
        <v>725</v>
      </c>
      <c r="G160" t="s">
        <v>726</v>
      </c>
    </row>
    <row r="161" spans="5:7" x14ac:dyDescent="0.25">
      <c r="E161">
        <v>3237</v>
      </c>
      <c r="F161" t="s">
        <v>727</v>
      </c>
      <c r="G161" t="s">
        <v>728</v>
      </c>
    </row>
    <row r="162" spans="5:7" x14ac:dyDescent="0.25">
      <c r="E162">
        <v>3238</v>
      </c>
      <c r="F162" t="s">
        <v>729</v>
      </c>
      <c r="G162" t="s">
        <v>730</v>
      </c>
    </row>
    <row r="163" spans="5:7" x14ac:dyDescent="0.25">
      <c r="E163">
        <v>3239</v>
      </c>
      <c r="F163" t="s">
        <v>731</v>
      </c>
      <c r="G163" t="s">
        <v>732</v>
      </c>
    </row>
    <row r="164" spans="5:7" x14ac:dyDescent="0.25">
      <c r="E164">
        <v>3245</v>
      </c>
      <c r="F164" t="s">
        <v>733</v>
      </c>
      <c r="G164" t="s">
        <v>734</v>
      </c>
    </row>
    <row r="165" spans="5:7" x14ac:dyDescent="0.25">
      <c r="E165">
        <v>3270</v>
      </c>
      <c r="F165" t="s">
        <v>457</v>
      </c>
      <c r="G165" t="s">
        <v>458</v>
      </c>
    </row>
    <row r="166" spans="5:7" x14ac:dyDescent="0.25">
      <c r="E166">
        <v>3319</v>
      </c>
      <c r="F166" t="s">
        <v>735</v>
      </c>
      <c r="G166" t="s">
        <v>736</v>
      </c>
    </row>
    <row r="167" spans="5:7" x14ac:dyDescent="0.25">
      <c r="E167">
        <v>3321</v>
      </c>
      <c r="F167" t="s">
        <v>472</v>
      </c>
      <c r="G167" t="s">
        <v>469</v>
      </c>
    </row>
    <row r="168" spans="5:7" x14ac:dyDescent="0.25">
      <c r="E168">
        <v>3460</v>
      </c>
      <c r="F168" t="s">
        <v>737</v>
      </c>
      <c r="G168" t="s">
        <v>738</v>
      </c>
    </row>
    <row r="169" spans="5:7" x14ac:dyDescent="0.25">
      <c r="E169">
        <v>3503</v>
      </c>
      <c r="F169" t="s">
        <v>739</v>
      </c>
      <c r="G169" t="s">
        <v>740</v>
      </c>
    </row>
    <row r="170" spans="5:7" x14ac:dyDescent="0.25">
      <c r="E170">
        <v>3504</v>
      </c>
      <c r="F170" t="s">
        <v>741</v>
      </c>
      <c r="G170" t="s">
        <v>742</v>
      </c>
    </row>
    <row r="171" spans="5:7" x14ac:dyDescent="0.25">
      <c r="E171">
        <v>3596</v>
      </c>
      <c r="F171" t="s">
        <v>508</v>
      </c>
      <c r="G171" t="s">
        <v>509</v>
      </c>
    </row>
    <row r="172" spans="5:7" x14ac:dyDescent="0.25">
      <c r="E172">
        <v>3632</v>
      </c>
      <c r="F172" t="s">
        <v>743</v>
      </c>
      <c r="G172" t="s">
        <v>744</v>
      </c>
    </row>
    <row r="173" spans="5:7" x14ac:dyDescent="0.25">
      <c r="E173">
        <v>3646</v>
      </c>
      <c r="F173" t="s">
        <v>745</v>
      </c>
      <c r="G173" t="s">
        <v>746</v>
      </c>
    </row>
    <row r="174" spans="5:7" x14ac:dyDescent="0.25">
      <c r="E174">
        <v>3650</v>
      </c>
      <c r="F174" t="s">
        <v>747</v>
      </c>
      <c r="G174" t="s">
        <v>748</v>
      </c>
    </row>
    <row r="175" spans="5:7" x14ac:dyDescent="0.25">
      <c r="E175">
        <v>3654</v>
      </c>
      <c r="F175" t="s">
        <v>749</v>
      </c>
      <c r="G175" t="s">
        <v>750</v>
      </c>
    </row>
    <row r="176" spans="5:7" x14ac:dyDescent="0.25">
      <c r="E176">
        <v>3655</v>
      </c>
      <c r="F176" t="s">
        <v>751</v>
      </c>
      <c r="G176" t="s">
        <v>752</v>
      </c>
    </row>
    <row r="177" spans="5:7" x14ac:dyDescent="0.25">
      <c r="E177">
        <v>3656</v>
      </c>
      <c r="F177" t="s">
        <v>753</v>
      </c>
      <c r="G177" t="s">
        <v>754</v>
      </c>
    </row>
    <row r="178" spans="5:7" x14ac:dyDescent="0.25">
      <c r="E178">
        <v>3657</v>
      </c>
      <c r="F178" t="s">
        <v>755</v>
      </c>
      <c r="G178" t="s">
        <v>756</v>
      </c>
    </row>
    <row r="179" spans="5:7" x14ac:dyDescent="0.25">
      <c r="E179">
        <v>3658</v>
      </c>
      <c r="F179" t="s">
        <v>757</v>
      </c>
      <c r="G179" t="s">
        <v>758</v>
      </c>
    </row>
    <row r="180" spans="5:7" x14ac:dyDescent="0.25">
      <c r="E180">
        <v>3659</v>
      </c>
      <c r="F180" t="s">
        <v>759</v>
      </c>
      <c r="G180" t="s">
        <v>760</v>
      </c>
    </row>
    <row r="181" spans="5:7" x14ac:dyDescent="0.25">
      <c r="E181">
        <v>3660</v>
      </c>
      <c r="F181" t="s">
        <v>761</v>
      </c>
      <c r="G181" t="s">
        <v>762</v>
      </c>
    </row>
    <row r="182" spans="5:7" x14ac:dyDescent="0.25">
      <c r="E182">
        <v>3661</v>
      </c>
      <c r="F182" t="s">
        <v>763</v>
      </c>
      <c r="G182" t="s">
        <v>764</v>
      </c>
    </row>
    <row r="183" spans="5:7" x14ac:dyDescent="0.25">
      <c r="E183">
        <v>3662</v>
      </c>
      <c r="F183" t="s">
        <v>765</v>
      </c>
      <c r="G183" t="s">
        <v>766</v>
      </c>
    </row>
    <row r="184" spans="5:7" x14ac:dyDescent="0.25">
      <c r="E184">
        <v>3663</v>
      </c>
      <c r="F184" t="s">
        <v>767</v>
      </c>
      <c r="G184" t="s">
        <v>768</v>
      </c>
    </row>
    <row r="185" spans="5:7" x14ac:dyDescent="0.25">
      <c r="E185">
        <v>3664</v>
      </c>
      <c r="F185" t="s">
        <v>769</v>
      </c>
      <c r="G185" t="s">
        <v>770</v>
      </c>
    </row>
    <row r="186" spans="5:7" x14ac:dyDescent="0.25">
      <c r="E186">
        <v>3665</v>
      </c>
      <c r="F186" t="s">
        <v>771</v>
      </c>
      <c r="G186" t="s">
        <v>772</v>
      </c>
    </row>
    <row r="187" spans="5:7" x14ac:dyDescent="0.25">
      <c r="E187">
        <v>3815</v>
      </c>
      <c r="F187" t="s">
        <v>451</v>
      </c>
      <c r="G187" t="s">
        <v>452</v>
      </c>
    </row>
    <row r="188" spans="5:7" x14ac:dyDescent="0.25">
      <c r="E188">
        <v>3940</v>
      </c>
      <c r="F188" t="s">
        <v>373</v>
      </c>
      <c r="G188" t="s">
        <v>374</v>
      </c>
    </row>
    <row r="189" spans="5:7" x14ac:dyDescent="0.25">
      <c r="E189">
        <v>4150</v>
      </c>
      <c r="F189" t="s">
        <v>773</v>
      </c>
      <c r="G189" t="s">
        <v>774</v>
      </c>
    </row>
    <row r="190" spans="5:7" x14ac:dyDescent="0.25">
      <c r="E190">
        <v>4206</v>
      </c>
      <c r="F190" t="s">
        <v>775</v>
      </c>
      <c r="G190" t="s">
        <v>776</v>
      </c>
    </row>
    <row r="191" spans="5:7" x14ac:dyDescent="0.25">
      <c r="E191">
        <v>4225</v>
      </c>
      <c r="F191" t="s">
        <v>777</v>
      </c>
      <c r="G191" t="s">
        <v>778</v>
      </c>
    </row>
    <row r="192" spans="5:7" x14ac:dyDescent="0.25">
      <c r="E192">
        <v>4238</v>
      </c>
      <c r="F192" t="s">
        <v>779</v>
      </c>
      <c r="G192" t="s">
        <v>780</v>
      </c>
    </row>
    <row r="193" spans="5:7" x14ac:dyDescent="0.25">
      <c r="E193">
        <v>4241</v>
      </c>
      <c r="F193" t="s">
        <v>345</v>
      </c>
      <c r="G193" t="s">
        <v>346</v>
      </c>
    </row>
    <row r="194" spans="5:7" x14ac:dyDescent="0.25">
      <c r="E194">
        <v>4268</v>
      </c>
      <c r="F194" t="s">
        <v>781</v>
      </c>
      <c r="G194" t="s">
        <v>782</v>
      </c>
    </row>
    <row r="195" spans="5:7" x14ac:dyDescent="0.25">
      <c r="E195">
        <v>4294</v>
      </c>
      <c r="F195" t="s">
        <v>783</v>
      </c>
      <c r="G195" t="s">
        <v>784</v>
      </c>
    </row>
    <row r="196" spans="5:7" x14ac:dyDescent="0.25">
      <c r="E196">
        <v>4316</v>
      </c>
      <c r="F196" t="s">
        <v>785</v>
      </c>
      <c r="G196" t="s">
        <v>786</v>
      </c>
    </row>
    <row r="197" spans="5:7" x14ac:dyDescent="0.25">
      <c r="E197">
        <v>4316</v>
      </c>
      <c r="F197" t="s">
        <v>785</v>
      </c>
      <c r="G197" t="s">
        <v>786</v>
      </c>
    </row>
    <row r="198" spans="5:7" x14ac:dyDescent="0.25">
      <c r="E198">
        <v>4355</v>
      </c>
      <c r="F198" t="s">
        <v>787</v>
      </c>
      <c r="G198" t="s">
        <v>788</v>
      </c>
    </row>
    <row r="199" spans="5:7" x14ac:dyDescent="0.25">
      <c r="E199">
        <v>4391</v>
      </c>
      <c r="F199" t="s">
        <v>789</v>
      </c>
      <c r="G199" t="s">
        <v>790</v>
      </c>
    </row>
    <row r="200" spans="5:7" x14ac:dyDescent="0.25">
      <c r="E200">
        <v>4430</v>
      </c>
      <c r="F200" t="s">
        <v>791</v>
      </c>
      <c r="G200" t="s">
        <v>792</v>
      </c>
    </row>
    <row r="201" spans="5:7" x14ac:dyDescent="0.25">
      <c r="E201">
        <v>4533</v>
      </c>
      <c r="F201" t="s">
        <v>793</v>
      </c>
      <c r="G201" t="s">
        <v>794</v>
      </c>
    </row>
    <row r="202" spans="5:7" x14ac:dyDescent="0.25">
      <c r="E202">
        <v>4534</v>
      </c>
      <c r="F202" t="s">
        <v>795</v>
      </c>
      <c r="G202" t="s">
        <v>796</v>
      </c>
    </row>
    <row r="203" spans="5:7" x14ac:dyDescent="0.25">
      <c r="E203">
        <v>4536</v>
      </c>
      <c r="F203" t="s">
        <v>797</v>
      </c>
      <c r="G203" t="s">
        <v>798</v>
      </c>
    </row>
    <row r="204" spans="5:7" x14ac:dyDescent="0.25">
      <c r="E204">
        <v>4543</v>
      </c>
      <c r="F204" t="s">
        <v>799</v>
      </c>
      <c r="G204" t="s">
        <v>800</v>
      </c>
    </row>
    <row r="205" spans="5:7" x14ac:dyDescent="0.25">
      <c r="E205">
        <v>4562</v>
      </c>
      <c r="F205" t="s">
        <v>801</v>
      </c>
      <c r="G205" t="s">
        <v>802</v>
      </c>
    </row>
    <row r="206" spans="5:7" x14ac:dyDescent="0.25">
      <c r="E206">
        <v>4566</v>
      </c>
      <c r="F206" t="s">
        <v>803</v>
      </c>
      <c r="G206" t="s">
        <v>804</v>
      </c>
    </row>
    <row r="207" spans="5:7" x14ac:dyDescent="0.25">
      <c r="E207">
        <v>4725</v>
      </c>
      <c r="F207" t="s">
        <v>805</v>
      </c>
      <c r="G207" t="s">
        <v>806</v>
      </c>
    </row>
    <row r="208" spans="5:7" x14ac:dyDescent="0.25">
      <c r="E208">
        <v>4726</v>
      </c>
      <c r="F208" t="s">
        <v>807</v>
      </c>
      <c r="G208" t="s">
        <v>808</v>
      </c>
    </row>
    <row r="209" spans="5:7" x14ac:dyDescent="0.25">
      <c r="E209">
        <v>4771</v>
      </c>
      <c r="F209" t="s">
        <v>809</v>
      </c>
      <c r="G209" t="s">
        <v>810</v>
      </c>
    </row>
    <row r="210" spans="5:7" x14ac:dyDescent="0.25">
      <c r="E210">
        <v>4773</v>
      </c>
      <c r="F210" t="s">
        <v>811</v>
      </c>
      <c r="G210" t="s">
        <v>812</v>
      </c>
    </row>
    <row r="211" spans="5:7" x14ac:dyDescent="0.25">
      <c r="E211">
        <v>4779</v>
      </c>
      <c r="F211" t="s">
        <v>271</v>
      </c>
      <c r="G211" t="s">
        <v>272</v>
      </c>
    </row>
    <row r="212" spans="5:7" x14ac:dyDescent="0.25">
      <c r="E212">
        <v>4952</v>
      </c>
      <c r="F212" t="s">
        <v>813</v>
      </c>
      <c r="G212" t="s">
        <v>814</v>
      </c>
    </row>
    <row r="213" spans="5:7" x14ac:dyDescent="0.25">
      <c r="E213">
        <v>4953</v>
      </c>
      <c r="F213" t="s">
        <v>815</v>
      </c>
      <c r="G213" t="s">
        <v>816</v>
      </c>
    </row>
    <row r="214" spans="5:7" x14ac:dyDescent="0.25">
      <c r="E214">
        <v>4956</v>
      </c>
      <c r="F214" t="s">
        <v>817</v>
      </c>
      <c r="G214" t="s">
        <v>818</v>
      </c>
    </row>
    <row r="215" spans="5:7" x14ac:dyDescent="0.25">
      <c r="E215">
        <v>4957</v>
      </c>
      <c r="F215" t="s">
        <v>819</v>
      </c>
      <c r="G215" t="s">
        <v>820</v>
      </c>
    </row>
    <row r="216" spans="5:7" x14ac:dyDescent="0.25">
      <c r="E216">
        <v>4959</v>
      </c>
      <c r="F216" t="s">
        <v>821</v>
      </c>
      <c r="G216" t="s">
        <v>822</v>
      </c>
    </row>
    <row r="217" spans="5:7" x14ac:dyDescent="0.25">
      <c r="E217">
        <v>4960</v>
      </c>
      <c r="F217" t="s">
        <v>823</v>
      </c>
      <c r="G217" t="s">
        <v>824</v>
      </c>
    </row>
    <row r="218" spans="5:7" x14ac:dyDescent="0.25">
      <c r="E218">
        <v>4962</v>
      </c>
      <c r="F218" t="s">
        <v>825</v>
      </c>
      <c r="G218" t="s">
        <v>826</v>
      </c>
    </row>
    <row r="219" spans="5:7" x14ac:dyDescent="0.25">
      <c r="E219">
        <v>4963</v>
      </c>
      <c r="F219" t="s">
        <v>827</v>
      </c>
      <c r="G219" t="s">
        <v>828</v>
      </c>
    </row>
    <row r="220" spans="5:7" x14ac:dyDescent="0.25">
      <c r="E220">
        <v>4964</v>
      </c>
      <c r="F220" t="s">
        <v>829</v>
      </c>
      <c r="G220" t="s">
        <v>830</v>
      </c>
    </row>
    <row r="221" spans="5:7" x14ac:dyDescent="0.25">
      <c r="E221">
        <v>4967</v>
      </c>
      <c r="F221" t="s">
        <v>831</v>
      </c>
      <c r="G221" t="s">
        <v>832</v>
      </c>
    </row>
    <row r="222" spans="5:7" x14ac:dyDescent="0.25">
      <c r="E222">
        <v>4968</v>
      </c>
      <c r="F222" t="s">
        <v>833</v>
      </c>
      <c r="G222" t="s">
        <v>834</v>
      </c>
    </row>
    <row r="223" spans="5:7" x14ac:dyDescent="0.25">
      <c r="E223">
        <v>4970</v>
      </c>
      <c r="F223" t="s">
        <v>835</v>
      </c>
      <c r="G223" t="s">
        <v>836</v>
      </c>
    </row>
    <row r="224" spans="5:7" x14ac:dyDescent="0.25">
      <c r="E224">
        <v>4972</v>
      </c>
      <c r="F224" t="s">
        <v>837</v>
      </c>
      <c r="G224" t="s">
        <v>838</v>
      </c>
    </row>
    <row r="225" spans="5:7" x14ac:dyDescent="0.25">
      <c r="E225">
        <v>5032</v>
      </c>
      <c r="F225" t="s">
        <v>839</v>
      </c>
      <c r="G225" t="s">
        <v>840</v>
      </c>
    </row>
    <row r="226" spans="5:7" x14ac:dyDescent="0.25">
      <c r="E226">
        <v>5145</v>
      </c>
      <c r="F226" t="s">
        <v>841</v>
      </c>
      <c r="G226" t="s">
        <v>842</v>
      </c>
    </row>
    <row r="227" spans="5:7" x14ac:dyDescent="0.25">
      <c r="E227">
        <v>5197</v>
      </c>
      <c r="F227" t="s">
        <v>843</v>
      </c>
      <c r="G227" t="s">
        <v>844</v>
      </c>
    </row>
    <row r="228" spans="5:7" x14ac:dyDescent="0.25">
      <c r="E228">
        <v>5577</v>
      </c>
      <c r="F228" t="s">
        <v>845</v>
      </c>
      <c r="G228" t="s">
        <v>846</v>
      </c>
    </row>
    <row r="229" spans="5:7" x14ac:dyDescent="0.25">
      <c r="E229">
        <v>5578</v>
      </c>
      <c r="F229" t="s">
        <v>847</v>
      </c>
      <c r="G229" t="s">
        <v>848</v>
      </c>
    </row>
    <row r="230" spans="5:7" x14ac:dyDescent="0.25">
      <c r="E230">
        <v>5629</v>
      </c>
      <c r="F230" t="s">
        <v>849</v>
      </c>
      <c r="G230" t="s">
        <v>850</v>
      </c>
    </row>
    <row r="231" spans="5:7" x14ac:dyDescent="0.25">
      <c r="E231">
        <v>5630</v>
      </c>
      <c r="F231" t="s">
        <v>851</v>
      </c>
      <c r="G231" t="s">
        <v>852</v>
      </c>
    </row>
    <row r="232" spans="5:7" x14ac:dyDescent="0.25">
      <c r="E232">
        <v>5633</v>
      </c>
      <c r="F232" t="s">
        <v>853</v>
      </c>
      <c r="G232" t="s">
        <v>854</v>
      </c>
    </row>
    <row r="233" spans="5:7" x14ac:dyDescent="0.25">
      <c r="E233">
        <v>5635</v>
      </c>
      <c r="F233" t="s">
        <v>855</v>
      </c>
      <c r="G233" t="s">
        <v>856</v>
      </c>
    </row>
    <row r="234" spans="5:7" x14ac:dyDescent="0.25">
      <c r="E234">
        <v>5662</v>
      </c>
      <c r="F234" t="s">
        <v>857</v>
      </c>
      <c r="G234" t="s">
        <v>858</v>
      </c>
    </row>
    <row r="235" spans="5:7" x14ac:dyDescent="0.25">
      <c r="E235">
        <v>6172</v>
      </c>
      <c r="F235" t="s">
        <v>859</v>
      </c>
      <c r="G235" t="s">
        <v>860</v>
      </c>
    </row>
    <row r="236" spans="5:7" x14ac:dyDescent="0.25">
      <c r="E236">
        <v>6173</v>
      </c>
      <c r="F236" t="s">
        <v>861</v>
      </c>
      <c r="G236" t="s">
        <v>862</v>
      </c>
    </row>
    <row r="237" spans="5:7" x14ac:dyDescent="0.25">
      <c r="E237">
        <v>6174</v>
      </c>
      <c r="F237" t="s">
        <v>863</v>
      </c>
      <c r="G237" t="s">
        <v>864</v>
      </c>
    </row>
    <row r="238" spans="5:7" x14ac:dyDescent="0.25">
      <c r="E238">
        <v>6447</v>
      </c>
      <c r="F238" t="s">
        <v>865</v>
      </c>
      <c r="G238" t="s">
        <v>866</v>
      </c>
    </row>
    <row r="239" spans="5:7" x14ac:dyDescent="0.25">
      <c r="E239">
        <v>6590</v>
      </c>
      <c r="F239" t="s">
        <v>492</v>
      </c>
      <c r="G239" t="s">
        <v>493</v>
      </c>
    </row>
    <row r="240" spans="5:7" x14ac:dyDescent="0.25">
      <c r="E240">
        <v>6861</v>
      </c>
      <c r="F240" t="s">
        <v>867</v>
      </c>
      <c r="G240" t="s">
        <v>868</v>
      </c>
    </row>
    <row r="241" spans="5:7" x14ac:dyDescent="0.25">
      <c r="E241">
        <v>6863</v>
      </c>
      <c r="F241" t="s">
        <v>869</v>
      </c>
      <c r="G241" t="s">
        <v>870</v>
      </c>
    </row>
    <row r="242" spans="5:7" x14ac:dyDescent="0.25">
      <c r="E242">
        <v>7263</v>
      </c>
      <c r="F242" t="s">
        <v>773</v>
      </c>
      <c r="G242" t="s">
        <v>871</v>
      </c>
    </row>
    <row r="243" spans="5:7" x14ac:dyDescent="0.25">
      <c r="E243">
        <v>7599</v>
      </c>
      <c r="F243" t="s">
        <v>872</v>
      </c>
      <c r="G243" t="s">
        <v>873</v>
      </c>
    </row>
    <row r="244" spans="5:7" x14ac:dyDescent="0.25">
      <c r="E244">
        <v>7600</v>
      </c>
      <c r="F244" t="s">
        <v>874</v>
      </c>
      <c r="G244" t="s">
        <v>875</v>
      </c>
    </row>
    <row r="245" spans="5:7" x14ac:dyDescent="0.25">
      <c r="E245">
        <v>7601</v>
      </c>
      <c r="F245" t="s">
        <v>876</v>
      </c>
      <c r="G245" t="s">
        <v>877</v>
      </c>
    </row>
    <row r="246" spans="5:7" x14ac:dyDescent="0.25">
      <c r="E246">
        <v>7602</v>
      </c>
      <c r="F246" t="s">
        <v>878</v>
      </c>
      <c r="G246" t="s">
        <v>879</v>
      </c>
    </row>
    <row r="247" spans="5:7" x14ac:dyDescent="0.25">
      <c r="E247">
        <v>7603</v>
      </c>
      <c r="F247" t="s">
        <v>880</v>
      </c>
      <c r="G247" t="s">
        <v>881</v>
      </c>
    </row>
    <row r="248" spans="5:7" x14ac:dyDescent="0.25">
      <c r="E248">
        <v>7604</v>
      </c>
      <c r="F248" t="s">
        <v>882</v>
      </c>
      <c r="G248" t="s">
        <v>883</v>
      </c>
    </row>
    <row r="249" spans="5:7" x14ac:dyDescent="0.25">
      <c r="E249">
        <v>7618</v>
      </c>
      <c r="F249" t="s">
        <v>453</v>
      </c>
      <c r="G249" t="s">
        <v>454</v>
      </c>
    </row>
    <row r="250" spans="5:7" x14ac:dyDescent="0.25">
      <c r="E250">
        <v>7641</v>
      </c>
      <c r="F250" t="s">
        <v>884</v>
      </c>
      <c r="G250" t="s">
        <v>885</v>
      </c>
    </row>
    <row r="251" spans="5:7" x14ac:dyDescent="0.25">
      <c r="E251">
        <v>7762</v>
      </c>
      <c r="F251" t="s">
        <v>886</v>
      </c>
      <c r="G251" t="s">
        <v>887</v>
      </c>
    </row>
    <row r="252" spans="5:7" x14ac:dyDescent="0.25">
      <c r="E252">
        <v>7763</v>
      </c>
      <c r="F252" t="s">
        <v>888</v>
      </c>
      <c r="G252" t="s">
        <v>889</v>
      </c>
    </row>
    <row r="253" spans="5:7" x14ac:dyDescent="0.25">
      <c r="E253">
        <v>8218</v>
      </c>
      <c r="F253" t="s">
        <v>890</v>
      </c>
      <c r="G253" t="s">
        <v>891</v>
      </c>
    </row>
    <row r="254" spans="5:7" x14ac:dyDescent="0.25">
      <c r="E254">
        <v>8221</v>
      </c>
      <c r="F254" t="s">
        <v>892</v>
      </c>
      <c r="G254" t="s">
        <v>893</v>
      </c>
    </row>
    <row r="255" spans="5:7" x14ac:dyDescent="0.25">
      <c r="E255">
        <v>8231</v>
      </c>
      <c r="F255" t="s">
        <v>894</v>
      </c>
      <c r="G255" t="s">
        <v>895</v>
      </c>
    </row>
    <row r="256" spans="5:7" x14ac:dyDescent="0.25">
      <c r="E256">
        <v>8237</v>
      </c>
      <c r="F256" t="s">
        <v>289</v>
      </c>
      <c r="G256" t="s">
        <v>290</v>
      </c>
    </row>
    <row r="257" spans="5:7" x14ac:dyDescent="0.25">
      <c r="E257">
        <v>8238</v>
      </c>
      <c r="F257" t="s">
        <v>291</v>
      </c>
      <c r="G257" t="s">
        <v>292</v>
      </c>
    </row>
    <row r="258" spans="5:7" x14ac:dyDescent="0.25">
      <c r="E258">
        <v>8240</v>
      </c>
      <c r="F258" t="s">
        <v>896</v>
      </c>
      <c r="G258" t="s">
        <v>897</v>
      </c>
    </row>
    <row r="259" spans="5:7" x14ac:dyDescent="0.25">
      <c r="E259">
        <v>8244</v>
      </c>
      <c r="F259" t="s">
        <v>898</v>
      </c>
      <c r="G259" t="s">
        <v>899</v>
      </c>
    </row>
    <row r="260" spans="5:7" x14ac:dyDescent="0.25">
      <c r="E260">
        <v>8245</v>
      </c>
      <c r="F260" t="s">
        <v>293</v>
      </c>
      <c r="G260" t="s">
        <v>294</v>
      </c>
    </row>
    <row r="261" spans="5:7" x14ac:dyDescent="0.25">
      <c r="E261">
        <v>8363</v>
      </c>
      <c r="F261" t="s">
        <v>443</v>
      </c>
      <c r="G261" t="s">
        <v>444</v>
      </c>
    </row>
    <row r="262" spans="5:7" x14ac:dyDescent="0.25">
      <c r="E262">
        <v>8364</v>
      </c>
      <c r="F262" t="s">
        <v>445</v>
      </c>
      <c r="G262" t="s">
        <v>446</v>
      </c>
    </row>
    <row r="263" spans="5:7" x14ac:dyDescent="0.25">
      <c r="E263">
        <v>8550</v>
      </c>
      <c r="F263" t="s">
        <v>900</v>
      </c>
      <c r="G263" t="s">
        <v>901</v>
      </c>
    </row>
    <row r="264" spans="5:7" x14ac:dyDescent="0.25">
      <c r="E264">
        <v>8639</v>
      </c>
      <c r="F264" t="s">
        <v>475</v>
      </c>
      <c r="G264" t="s">
        <v>470</v>
      </c>
    </row>
    <row r="265" spans="5:7" x14ac:dyDescent="0.25">
      <c r="E265">
        <v>9030</v>
      </c>
      <c r="F265" t="s">
        <v>494</v>
      </c>
      <c r="G265" t="s">
        <v>495</v>
      </c>
    </row>
    <row r="266" spans="5:7" x14ac:dyDescent="0.25">
      <c r="E266">
        <v>9372</v>
      </c>
      <c r="F266" t="s">
        <v>510</v>
      </c>
      <c r="G266" t="s">
        <v>511</v>
      </c>
    </row>
    <row r="267" spans="5:7" x14ac:dyDescent="0.25">
      <c r="E267">
        <v>9381</v>
      </c>
      <c r="F267" t="s">
        <v>902</v>
      </c>
      <c r="G267" t="s">
        <v>903</v>
      </c>
    </row>
    <row r="268" spans="5:7" x14ac:dyDescent="0.25">
      <c r="E268">
        <v>10115</v>
      </c>
      <c r="F268" t="s">
        <v>904</v>
      </c>
      <c r="G268" t="s">
        <v>905</v>
      </c>
    </row>
    <row r="269" spans="5:7" x14ac:dyDescent="0.25">
      <c r="E269">
        <v>10116</v>
      </c>
      <c r="F269" t="s">
        <v>906</v>
      </c>
      <c r="G269" t="s">
        <v>907</v>
      </c>
    </row>
    <row r="270" spans="5:7" x14ac:dyDescent="0.25">
      <c r="E270">
        <v>10118</v>
      </c>
      <c r="F270" t="s">
        <v>908</v>
      </c>
      <c r="G270" t="s">
        <v>909</v>
      </c>
    </row>
    <row r="271" spans="5:7" x14ac:dyDescent="0.25">
      <c r="E271">
        <v>10119</v>
      </c>
      <c r="F271" t="s">
        <v>910</v>
      </c>
      <c r="G271" t="s">
        <v>911</v>
      </c>
    </row>
    <row r="272" spans="5:7" x14ac:dyDescent="0.25">
      <c r="E272">
        <v>10120</v>
      </c>
      <c r="F272" t="s">
        <v>912</v>
      </c>
      <c r="G272" t="s">
        <v>913</v>
      </c>
    </row>
    <row r="273" spans="5:7" x14ac:dyDescent="0.25">
      <c r="E273">
        <v>10122</v>
      </c>
      <c r="F273" t="s">
        <v>914</v>
      </c>
      <c r="G273" t="s">
        <v>915</v>
      </c>
    </row>
    <row r="274" spans="5:7" x14ac:dyDescent="0.25">
      <c r="E274">
        <v>10813</v>
      </c>
      <c r="F274" t="s">
        <v>916</v>
      </c>
      <c r="G274" t="s">
        <v>917</v>
      </c>
    </row>
    <row r="275" spans="5:7" x14ac:dyDescent="0.25">
      <c r="E275">
        <v>10948</v>
      </c>
      <c r="F275" t="s">
        <v>918</v>
      </c>
      <c r="G275" t="s">
        <v>919</v>
      </c>
    </row>
    <row r="276" spans="5:7" x14ac:dyDescent="0.25">
      <c r="E276">
        <v>10949</v>
      </c>
      <c r="F276" t="s">
        <v>920</v>
      </c>
      <c r="G276" t="s">
        <v>921</v>
      </c>
    </row>
    <row r="277" spans="5:7" x14ac:dyDescent="0.25">
      <c r="E277">
        <v>10996</v>
      </c>
      <c r="F277" t="s">
        <v>922</v>
      </c>
      <c r="G277" t="s">
        <v>923</v>
      </c>
    </row>
    <row r="278" spans="5:7" x14ac:dyDescent="0.25">
      <c r="E278">
        <v>10997</v>
      </c>
      <c r="F278" t="s">
        <v>924</v>
      </c>
      <c r="G278" t="s">
        <v>925</v>
      </c>
    </row>
    <row r="279" spans="5:7" x14ac:dyDescent="0.25">
      <c r="E279">
        <v>11029</v>
      </c>
      <c r="F279" t="s">
        <v>926</v>
      </c>
      <c r="G279" t="s">
        <v>927</v>
      </c>
    </row>
    <row r="280" spans="5:7" x14ac:dyDescent="0.25">
      <c r="E280">
        <v>11319</v>
      </c>
      <c r="F280" t="s">
        <v>305</v>
      </c>
      <c r="G280" t="s">
        <v>306</v>
      </c>
    </row>
    <row r="281" spans="5:7" x14ac:dyDescent="0.25">
      <c r="E281">
        <v>11765</v>
      </c>
      <c r="F281" t="s">
        <v>928</v>
      </c>
      <c r="G281" t="s">
        <v>929</v>
      </c>
    </row>
    <row r="282" spans="5:7" x14ac:dyDescent="0.25">
      <c r="E282">
        <v>11891</v>
      </c>
      <c r="F282" t="s">
        <v>930</v>
      </c>
      <c r="G282" t="s">
        <v>931</v>
      </c>
    </row>
    <row r="283" spans="5:7" x14ac:dyDescent="0.25">
      <c r="E283">
        <v>11892</v>
      </c>
      <c r="F283" t="s">
        <v>932</v>
      </c>
      <c r="G283" t="s">
        <v>933</v>
      </c>
    </row>
    <row r="284" spans="5:7" x14ac:dyDescent="0.25">
      <c r="E284">
        <v>11893</v>
      </c>
      <c r="F284" t="s">
        <v>447</v>
      </c>
      <c r="G284" t="s">
        <v>448</v>
      </c>
    </row>
    <row r="285" spans="5:7" x14ac:dyDescent="0.25">
      <c r="E285">
        <v>11945</v>
      </c>
      <c r="F285" t="s">
        <v>934</v>
      </c>
      <c r="G285" t="s">
        <v>935</v>
      </c>
    </row>
    <row r="286" spans="5:7" x14ac:dyDescent="0.25">
      <c r="E286">
        <v>12812</v>
      </c>
      <c r="F286" t="s">
        <v>936</v>
      </c>
      <c r="G286" t="s">
        <v>937</v>
      </c>
    </row>
    <row r="287" spans="5:7" x14ac:dyDescent="0.25">
      <c r="E287">
        <v>12852</v>
      </c>
      <c r="F287" t="s">
        <v>938</v>
      </c>
      <c r="G287" t="s">
        <v>939</v>
      </c>
    </row>
    <row r="288" spans="5:7" x14ac:dyDescent="0.25">
      <c r="E288">
        <v>12863</v>
      </c>
      <c r="F288" t="s">
        <v>940</v>
      </c>
      <c r="G288" t="s">
        <v>941</v>
      </c>
    </row>
    <row r="289" spans="5:7" x14ac:dyDescent="0.25">
      <c r="E289">
        <v>12867</v>
      </c>
      <c r="F289" t="s">
        <v>942</v>
      </c>
      <c r="G289" t="s">
        <v>943</v>
      </c>
    </row>
    <row r="290" spans="5:7" x14ac:dyDescent="0.25">
      <c r="E290">
        <v>12871</v>
      </c>
      <c r="F290" t="s">
        <v>944</v>
      </c>
      <c r="G290" t="s">
        <v>945</v>
      </c>
    </row>
    <row r="291" spans="5:7" x14ac:dyDescent="0.25">
      <c r="E291">
        <v>12873</v>
      </c>
      <c r="F291" t="s">
        <v>946</v>
      </c>
      <c r="G291" t="s">
        <v>947</v>
      </c>
    </row>
    <row r="292" spans="5:7" x14ac:dyDescent="0.25">
      <c r="E292">
        <v>12875</v>
      </c>
      <c r="F292" t="s">
        <v>948</v>
      </c>
      <c r="G292" t="s">
        <v>949</v>
      </c>
    </row>
    <row r="293" spans="5:7" x14ac:dyDescent="0.25">
      <c r="E293">
        <v>12885</v>
      </c>
      <c r="F293" t="s">
        <v>950</v>
      </c>
      <c r="G293" t="s">
        <v>951</v>
      </c>
    </row>
    <row r="294" spans="5:7" x14ac:dyDescent="0.25">
      <c r="E294">
        <v>12904</v>
      </c>
      <c r="F294" t="s">
        <v>952</v>
      </c>
      <c r="G294" t="s">
        <v>953</v>
      </c>
    </row>
  </sheetData>
  <phoneticPr fontId="2" type="noConversion"/>
  <pageMargins left="0.7" right="0.7" top="0.75" bottom="0.75" header="0.3" footer="0.3"/>
  <pageSetup orientation="portrait" r:id="rId1"/>
  <tableParts count="3"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C4666-45D6-4727-8C29-C1B8F6C2D801}">
  <dimension ref="A1:K159"/>
  <sheetViews>
    <sheetView workbookViewId="0">
      <selection activeCell="K16" sqref="K16"/>
    </sheetView>
  </sheetViews>
  <sheetFormatPr defaultRowHeight="15" x14ac:dyDescent="0.25"/>
  <cols>
    <col min="3" max="3" width="34.85546875" bestFit="1" customWidth="1"/>
    <col min="5" max="5" width="6" bestFit="1" customWidth="1"/>
    <col min="6" max="6" width="69.42578125" bestFit="1" customWidth="1"/>
    <col min="7" max="7" width="81.140625" bestFit="1" customWidth="1"/>
  </cols>
  <sheetData>
    <row r="1" spans="1:11" x14ac:dyDescent="0.25">
      <c r="A1" t="s">
        <v>226</v>
      </c>
      <c r="B1" t="s">
        <v>227</v>
      </c>
      <c r="C1" t="s">
        <v>228</v>
      </c>
      <c r="E1" t="s">
        <v>226</v>
      </c>
      <c r="F1" t="s">
        <v>237</v>
      </c>
      <c r="G1" t="s">
        <v>238</v>
      </c>
      <c r="I1" t="s">
        <v>228</v>
      </c>
      <c r="J1" t="s">
        <v>1063</v>
      </c>
      <c r="K1" t="s">
        <v>1064</v>
      </c>
    </row>
    <row r="2" spans="1:11" x14ac:dyDescent="0.25">
      <c r="A2" s="6">
        <v>87</v>
      </c>
      <c r="B2" s="6" t="s">
        <v>175</v>
      </c>
      <c r="C2" s="7" t="s">
        <v>221</v>
      </c>
      <c r="E2">
        <v>14</v>
      </c>
      <c r="F2" t="s">
        <v>455</v>
      </c>
      <c r="G2" t="s">
        <v>456</v>
      </c>
      <c r="I2" s="9" t="s">
        <v>221</v>
      </c>
      <c r="J2" s="6">
        <f>COUNTIF(Pneumoniae_ec[Module],I2)</f>
        <v>12</v>
      </c>
      <c r="K2" s="19">
        <f t="shared" ref="K2:K9" si="0">J2/$J$9</f>
        <v>0.21052631578947367</v>
      </c>
    </row>
    <row r="3" spans="1:11" x14ac:dyDescent="0.25">
      <c r="A3" s="6">
        <v>56</v>
      </c>
      <c r="B3" s="6" t="s">
        <v>42</v>
      </c>
      <c r="C3" s="7" t="s">
        <v>221</v>
      </c>
      <c r="E3">
        <v>104</v>
      </c>
      <c r="F3" t="s">
        <v>385</v>
      </c>
      <c r="G3" t="s">
        <v>386</v>
      </c>
      <c r="I3" s="9" t="s">
        <v>223</v>
      </c>
      <c r="J3" s="6">
        <f>COUNTIF(Pneumoniae_ec[Module],I3)</f>
        <v>4</v>
      </c>
      <c r="K3" s="19">
        <f t="shared" si="0"/>
        <v>7.0175438596491224E-2</v>
      </c>
    </row>
    <row r="4" spans="1:11" x14ac:dyDescent="0.25">
      <c r="A4" s="6">
        <v>46</v>
      </c>
      <c r="B4" s="6" t="s">
        <v>71</v>
      </c>
      <c r="C4" s="7" t="s">
        <v>224</v>
      </c>
      <c r="E4">
        <v>137</v>
      </c>
      <c r="F4" t="s">
        <v>393</v>
      </c>
      <c r="G4" t="s">
        <v>394</v>
      </c>
      <c r="I4" s="9" t="s">
        <v>225</v>
      </c>
      <c r="J4" s="6">
        <f>COUNTIF(Pneumoniae_ec[Module],I4)</f>
        <v>9</v>
      </c>
      <c r="K4" s="19">
        <f t="shared" si="0"/>
        <v>0.15789473684210525</v>
      </c>
    </row>
    <row r="5" spans="1:11" x14ac:dyDescent="0.25">
      <c r="A5" s="6">
        <v>63</v>
      </c>
      <c r="B5" s="6" t="s">
        <v>174</v>
      </c>
      <c r="C5" s="7"/>
      <c r="E5">
        <v>158</v>
      </c>
      <c r="F5" t="s">
        <v>315</v>
      </c>
      <c r="G5" t="s">
        <v>316</v>
      </c>
      <c r="I5" s="9" t="s">
        <v>222</v>
      </c>
      <c r="J5" s="6">
        <f>COUNTIF(Pneumoniae_ec[Module],I5)</f>
        <v>6</v>
      </c>
      <c r="K5" s="19">
        <f t="shared" si="0"/>
        <v>0.10526315789473684</v>
      </c>
    </row>
    <row r="6" spans="1:11" x14ac:dyDescent="0.25">
      <c r="A6" s="6">
        <v>30</v>
      </c>
      <c r="B6" s="6" t="s">
        <v>27</v>
      </c>
      <c r="C6" s="7"/>
      <c r="E6">
        <v>161</v>
      </c>
      <c r="F6" t="s">
        <v>343</v>
      </c>
      <c r="G6" t="s">
        <v>344</v>
      </c>
      <c r="I6" s="9" t="s">
        <v>224</v>
      </c>
      <c r="J6" s="6">
        <f>COUNTIF(Pneumoniae_ec[Module],I6)</f>
        <v>11</v>
      </c>
      <c r="K6" s="19">
        <f t="shared" si="0"/>
        <v>0.19298245614035087</v>
      </c>
    </row>
    <row r="7" spans="1:11" x14ac:dyDescent="0.25">
      <c r="A7" s="6">
        <v>89</v>
      </c>
      <c r="B7" s="6" t="s">
        <v>173</v>
      </c>
      <c r="C7" s="7"/>
      <c r="E7">
        <v>164</v>
      </c>
      <c r="F7" t="s">
        <v>954</v>
      </c>
      <c r="G7" t="s">
        <v>955</v>
      </c>
      <c r="I7" s="9" t="s">
        <v>219</v>
      </c>
      <c r="J7" s="6">
        <v>1</v>
      </c>
      <c r="K7" s="19">
        <f t="shared" si="0"/>
        <v>1.7543859649122806E-2</v>
      </c>
    </row>
    <row r="8" spans="1:11" x14ac:dyDescent="0.25">
      <c r="A8" s="6">
        <v>83</v>
      </c>
      <c r="B8" s="6" t="s">
        <v>163</v>
      </c>
      <c r="C8" s="7"/>
      <c r="E8">
        <v>177</v>
      </c>
      <c r="F8" t="s">
        <v>501</v>
      </c>
      <c r="G8" t="s">
        <v>502</v>
      </c>
      <c r="I8" s="9" t="s">
        <v>235</v>
      </c>
      <c r="J8" s="6">
        <f>COUNTBLANK(Pneumoniae_ec[Module])</f>
        <v>14</v>
      </c>
      <c r="K8" s="19">
        <f t="shared" si="0"/>
        <v>0.24561403508771928</v>
      </c>
    </row>
    <row r="9" spans="1:11" x14ac:dyDescent="0.25">
      <c r="A9" s="6">
        <v>73</v>
      </c>
      <c r="B9" s="6" t="s">
        <v>159</v>
      </c>
      <c r="C9" s="7" t="s">
        <v>222</v>
      </c>
      <c r="E9">
        <v>188</v>
      </c>
      <c r="F9" t="s">
        <v>956</v>
      </c>
      <c r="G9" t="s">
        <v>957</v>
      </c>
      <c r="I9" t="s">
        <v>1065</v>
      </c>
      <c r="J9" s="6">
        <f>SUM(J2:J8)</f>
        <v>57</v>
      </c>
      <c r="K9" s="19">
        <f t="shared" si="0"/>
        <v>1</v>
      </c>
    </row>
    <row r="10" spans="1:11" x14ac:dyDescent="0.25">
      <c r="A10" s="6">
        <v>67</v>
      </c>
      <c r="B10" s="6" t="s">
        <v>57</v>
      </c>
      <c r="C10" s="7" t="s">
        <v>224</v>
      </c>
      <c r="E10">
        <v>189</v>
      </c>
      <c r="F10" t="s">
        <v>387</v>
      </c>
      <c r="G10" t="s">
        <v>388</v>
      </c>
    </row>
    <row r="11" spans="1:11" x14ac:dyDescent="0.25">
      <c r="A11" s="6">
        <v>50</v>
      </c>
      <c r="B11" s="6" t="s">
        <v>144</v>
      </c>
      <c r="C11" s="7" t="s">
        <v>223</v>
      </c>
      <c r="E11">
        <v>190</v>
      </c>
      <c r="F11" t="s">
        <v>279</v>
      </c>
      <c r="G11" t="s">
        <v>280</v>
      </c>
    </row>
    <row r="12" spans="1:11" x14ac:dyDescent="0.25">
      <c r="A12" s="6">
        <v>14</v>
      </c>
      <c r="B12" s="6" t="s">
        <v>131</v>
      </c>
      <c r="C12" s="7"/>
      <c r="E12">
        <v>200</v>
      </c>
      <c r="F12" t="s">
        <v>425</v>
      </c>
      <c r="G12" t="s">
        <v>426</v>
      </c>
    </row>
    <row r="13" spans="1:11" x14ac:dyDescent="0.25">
      <c r="A13" s="6">
        <v>68</v>
      </c>
      <c r="B13" s="6" t="s">
        <v>156</v>
      </c>
      <c r="C13" s="7" t="s">
        <v>223</v>
      </c>
      <c r="E13">
        <v>289</v>
      </c>
      <c r="F13" t="s">
        <v>523</v>
      </c>
      <c r="G13" t="s">
        <v>524</v>
      </c>
    </row>
    <row r="14" spans="1:11" x14ac:dyDescent="0.25">
      <c r="A14" s="6">
        <v>16</v>
      </c>
      <c r="B14" s="6" t="s">
        <v>132</v>
      </c>
      <c r="C14" s="7" t="s">
        <v>225</v>
      </c>
      <c r="E14">
        <v>291</v>
      </c>
      <c r="F14" t="s">
        <v>498</v>
      </c>
      <c r="G14" t="s">
        <v>499</v>
      </c>
    </row>
    <row r="15" spans="1:11" x14ac:dyDescent="0.25">
      <c r="A15" s="6">
        <v>57</v>
      </c>
      <c r="B15" s="6" t="s">
        <v>149</v>
      </c>
      <c r="C15" s="7" t="s">
        <v>225</v>
      </c>
      <c r="E15">
        <v>315</v>
      </c>
      <c r="F15" t="s">
        <v>275</v>
      </c>
      <c r="G15" t="s">
        <v>276</v>
      </c>
    </row>
    <row r="16" spans="1:11" x14ac:dyDescent="0.25">
      <c r="A16" s="6">
        <v>86</v>
      </c>
      <c r="B16" s="6" t="s">
        <v>10</v>
      </c>
      <c r="C16" s="7" t="s">
        <v>225</v>
      </c>
      <c r="E16">
        <v>332</v>
      </c>
      <c r="F16" t="s">
        <v>365</v>
      </c>
      <c r="G16" t="s">
        <v>366</v>
      </c>
    </row>
    <row r="17" spans="1:7" x14ac:dyDescent="0.25">
      <c r="A17" s="6">
        <v>8</v>
      </c>
      <c r="B17" s="6" t="s">
        <v>128</v>
      </c>
      <c r="C17" s="7" t="s">
        <v>225</v>
      </c>
      <c r="E17">
        <v>375</v>
      </c>
      <c r="F17" t="s">
        <v>561</v>
      </c>
      <c r="G17" t="s">
        <v>562</v>
      </c>
    </row>
    <row r="18" spans="1:7" x14ac:dyDescent="0.25">
      <c r="A18" s="6">
        <v>15</v>
      </c>
      <c r="B18" s="6" t="s">
        <v>105</v>
      </c>
      <c r="C18" s="7" t="s">
        <v>219</v>
      </c>
      <c r="E18">
        <v>376</v>
      </c>
      <c r="F18" t="s">
        <v>563</v>
      </c>
      <c r="G18" t="s">
        <v>562</v>
      </c>
    </row>
    <row r="19" spans="1:7" x14ac:dyDescent="0.25">
      <c r="A19" s="6">
        <v>44</v>
      </c>
      <c r="B19" s="6" t="s">
        <v>100</v>
      </c>
      <c r="C19" s="7" t="s">
        <v>221</v>
      </c>
      <c r="E19">
        <v>377</v>
      </c>
      <c r="F19" t="s">
        <v>564</v>
      </c>
      <c r="G19" t="s">
        <v>562</v>
      </c>
    </row>
    <row r="20" spans="1:7" x14ac:dyDescent="0.25">
      <c r="A20" s="6">
        <v>9</v>
      </c>
      <c r="B20" s="6" t="s">
        <v>129</v>
      </c>
      <c r="C20" s="7" t="s">
        <v>225</v>
      </c>
      <c r="E20">
        <v>378</v>
      </c>
      <c r="F20" t="s">
        <v>565</v>
      </c>
      <c r="G20" t="s">
        <v>562</v>
      </c>
    </row>
    <row r="21" spans="1:7" x14ac:dyDescent="0.25">
      <c r="A21" s="6">
        <v>39</v>
      </c>
      <c r="B21" s="6" t="s">
        <v>36</v>
      </c>
      <c r="C21" s="7" t="s">
        <v>224</v>
      </c>
      <c r="E21">
        <v>382</v>
      </c>
      <c r="F21" t="s">
        <v>568</v>
      </c>
      <c r="G21" t="s">
        <v>569</v>
      </c>
    </row>
    <row r="22" spans="1:7" x14ac:dyDescent="0.25">
      <c r="A22" s="6">
        <v>24</v>
      </c>
      <c r="B22" s="6" t="s">
        <v>139</v>
      </c>
      <c r="C22" s="7" t="s">
        <v>224</v>
      </c>
      <c r="E22">
        <v>418</v>
      </c>
      <c r="F22" t="s">
        <v>958</v>
      </c>
      <c r="G22" t="s">
        <v>959</v>
      </c>
    </row>
    <row r="23" spans="1:7" x14ac:dyDescent="0.25">
      <c r="A23" s="6">
        <v>13</v>
      </c>
      <c r="B23" s="6" t="s">
        <v>130</v>
      </c>
      <c r="C23" s="7" t="s">
        <v>223</v>
      </c>
      <c r="E23">
        <v>430</v>
      </c>
      <c r="F23" t="s">
        <v>427</v>
      </c>
      <c r="G23" t="s">
        <v>428</v>
      </c>
    </row>
    <row r="24" spans="1:7" x14ac:dyDescent="0.25">
      <c r="A24" s="6">
        <v>45</v>
      </c>
      <c r="B24" s="6" t="s">
        <v>99</v>
      </c>
      <c r="C24" s="7" t="s">
        <v>221</v>
      </c>
      <c r="E24">
        <v>435</v>
      </c>
      <c r="F24" t="s">
        <v>576</v>
      </c>
      <c r="G24" t="s">
        <v>577</v>
      </c>
    </row>
    <row r="25" spans="1:7" x14ac:dyDescent="0.25">
      <c r="A25" s="6">
        <v>66</v>
      </c>
      <c r="B25" s="6" t="s">
        <v>155</v>
      </c>
      <c r="C25" s="7" t="s">
        <v>222</v>
      </c>
      <c r="E25">
        <v>441</v>
      </c>
      <c r="F25" t="s">
        <v>578</v>
      </c>
      <c r="G25" t="s">
        <v>577</v>
      </c>
    </row>
    <row r="26" spans="1:7" x14ac:dyDescent="0.25">
      <c r="A26" s="6">
        <v>79</v>
      </c>
      <c r="B26" s="6" t="s">
        <v>161</v>
      </c>
      <c r="C26" s="7"/>
      <c r="E26">
        <v>442</v>
      </c>
      <c r="F26" t="s">
        <v>579</v>
      </c>
      <c r="G26" t="s">
        <v>577</v>
      </c>
    </row>
    <row r="27" spans="1:7" x14ac:dyDescent="0.25">
      <c r="A27" s="6">
        <v>82</v>
      </c>
      <c r="B27" s="6" t="s">
        <v>162</v>
      </c>
      <c r="C27" s="7" t="s">
        <v>225</v>
      </c>
      <c r="E27">
        <v>443</v>
      </c>
      <c r="F27" t="s">
        <v>580</v>
      </c>
      <c r="G27" t="s">
        <v>577</v>
      </c>
    </row>
    <row r="28" spans="1:7" x14ac:dyDescent="0.25">
      <c r="A28" s="6">
        <v>62</v>
      </c>
      <c r="B28" s="6" t="s">
        <v>153</v>
      </c>
      <c r="C28" s="7" t="s">
        <v>225</v>
      </c>
      <c r="E28">
        <v>444</v>
      </c>
      <c r="F28" t="s">
        <v>581</v>
      </c>
      <c r="G28" t="s">
        <v>577</v>
      </c>
    </row>
    <row r="29" spans="1:7" x14ac:dyDescent="0.25">
      <c r="A29" s="6">
        <v>32</v>
      </c>
      <c r="B29" s="6" t="s">
        <v>56</v>
      </c>
      <c r="C29" s="7" t="s">
        <v>225</v>
      </c>
      <c r="E29">
        <v>508</v>
      </c>
      <c r="F29" t="s">
        <v>243</v>
      </c>
      <c r="G29" t="s">
        <v>244</v>
      </c>
    </row>
    <row r="30" spans="1:7" x14ac:dyDescent="0.25">
      <c r="A30" s="6">
        <v>3</v>
      </c>
      <c r="B30" s="6" t="s">
        <v>5</v>
      </c>
      <c r="C30" s="7" t="s">
        <v>225</v>
      </c>
      <c r="E30">
        <v>512</v>
      </c>
      <c r="F30" t="s">
        <v>311</v>
      </c>
      <c r="G30" t="s">
        <v>312</v>
      </c>
    </row>
    <row r="31" spans="1:7" x14ac:dyDescent="0.25">
      <c r="A31" s="6">
        <v>21</v>
      </c>
      <c r="B31" s="6" t="s">
        <v>8</v>
      </c>
      <c r="C31" s="7" t="s">
        <v>221</v>
      </c>
      <c r="E31">
        <v>549</v>
      </c>
      <c r="F31" t="s">
        <v>433</v>
      </c>
      <c r="G31" t="s">
        <v>434</v>
      </c>
    </row>
    <row r="32" spans="1:7" x14ac:dyDescent="0.25">
      <c r="A32" s="6">
        <v>49</v>
      </c>
      <c r="B32" s="6" t="s">
        <v>143</v>
      </c>
      <c r="C32" s="7" t="s">
        <v>224</v>
      </c>
      <c r="E32">
        <v>572</v>
      </c>
      <c r="F32" t="s">
        <v>584</v>
      </c>
      <c r="G32" t="s">
        <v>585</v>
      </c>
    </row>
    <row r="33" spans="1:7" x14ac:dyDescent="0.25">
      <c r="A33" s="6">
        <v>25</v>
      </c>
      <c r="B33" s="6" t="s">
        <v>140</v>
      </c>
      <c r="C33" s="7" t="s">
        <v>224</v>
      </c>
      <c r="E33">
        <v>597</v>
      </c>
      <c r="F33" t="s">
        <v>960</v>
      </c>
      <c r="G33" t="s">
        <v>961</v>
      </c>
    </row>
    <row r="34" spans="1:7" x14ac:dyDescent="0.25">
      <c r="A34" s="6">
        <v>6</v>
      </c>
      <c r="B34" s="6" t="s">
        <v>17</v>
      </c>
      <c r="C34" s="7"/>
      <c r="E34">
        <v>658</v>
      </c>
      <c r="F34" t="s">
        <v>476</v>
      </c>
      <c r="G34" t="s">
        <v>478</v>
      </c>
    </row>
    <row r="35" spans="1:7" x14ac:dyDescent="0.25">
      <c r="A35" s="6">
        <v>0</v>
      </c>
      <c r="B35" s="6" t="s">
        <v>0</v>
      </c>
      <c r="C35" s="7"/>
      <c r="E35">
        <v>659</v>
      </c>
      <c r="F35" t="s">
        <v>588</v>
      </c>
      <c r="G35" t="s">
        <v>589</v>
      </c>
    </row>
    <row r="36" spans="1:7" x14ac:dyDescent="0.25">
      <c r="A36" s="6">
        <v>84</v>
      </c>
      <c r="B36" s="6" t="s">
        <v>165</v>
      </c>
      <c r="C36" s="7" t="s">
        <v>221</v>
      </c>
      <c r="E36">
        <v>703</v>
      </c>
      <c r="F36" t="s">
        <v>371</v>
      </c>
      <c r="G36" t="s">
        <v>372</v>
      </c>
    </row>
    <row r="37" spans="1:7" x14ac:dyDescent="0.25">
      <c r="A37" s="6">
        <v>35</v>
      </c>
      <c r="B37" s="6" t="s">
        <v>67</v>
      </c>
      <c r="C37" s="7" t="s">
        <v>223</v>
      </c>
      <c r="E37">
        <v>724</v>
      </c>
      <c r="F37" t="s">
        <v>592</v>
      </c>
      <c r="G37" t="s">
        <v>593</v>
      </c>
    </row>
    <row r="38" spans="1:7" x14ac:dyDescent="0.25">
      <c r="A38" s="6">
        <v>43</v>
      </c>
      <c r="B38" s="6" t="s">
        <v>111</v>
      </c>
      <c r="C38" s="7" t="s">
        <v>224</v>
      </c>
      <c r="E38">
        <v>756</v>
      </c>
      <c r="F38" t="s">
        <v>596</v>
      </c>
      <c r="G38" t="s">
        <v>597</v>
      </c>
    </row>
    <row r="39" spans="1:7" x14ac:dyDescent="0.25">
      <c r="A39" s="6">
        <v>61</v>
      </c>
      <c r="B39" s="6" t="s">
        <v>150</v>
      </c>
      <c r="C39" s="7"/>
      <c r="E39">
        <v>767</v>
      </c>
      <c r="F39" t="s">
        <v>598</v>
      </c>
      <c r="G39" t="s">
        <v>599</v>
      </c>
    </row>
    <row r="40" spans="1:7" x14ac:dyDescent="0.25">
      <c r="A40" s="6">
        <v>27</v>
      </c>
      <c r="B40" s="6" t="s">
        <v>9</v>
      </c>
      <c r="C40" s="7"/>
      <c r="E40">
        <v>769</v>
      </c>
      <c r="F40" t="s">
        <v>602</v>
      </c>
      <c r="G40" t="s">
        <v>603</v>
      </c>
    </row>
    <row r="41" spans="1:7" x14ac:dyDescent="0.25">
      <c r="A41" s="6">
        <v>41</v>
      </c>
      <c r="B41" s="6" t="s">
        <v>152</v>
      </c>
      <c r="C41" s="7" t="s">
        <v>224</v>
      </c>
      <c r="E41">
        <v>770</v>
      </c>
      <c r="F41" t="s">
        <v>604</v>
      </c>
      <c r="G41" t="s">
        <v>605</v>
      </c>
    </row>
    <row r="42" spans="1:7" x14ac:dyDescent="0.25">
      <c r="A42" s="6">
        <v>54</v>
      </c>
      <c r="B42" s="6" t="s">
        <v>145</v>
      </c>
      <c r="C42" s="7"/>
      <c r="E42">
        <v>771</v>
      </c>
      <c r="F42" t="s">
        <v>470</v>
      </c>
      <c r="G42" t="s">
        <v>471</v>
      </c>
    </row>
    <row r="43" spans="1:7" x14ac:dyDescent="0.25">
      <c r="A43" s="6">
        <v>23</v>
      </c>
      <c r="B43" s="6" t="s">
        <v>141</v>
      </c>
      <c r="C43" s="7" t="s">
        <v>222</v>
      </c>
      <c r="E43">
        <v>847</v>
      </c>
      <c r="F43" t="s">
        <v>357</v>
      </c>
      <c r="G43" t="s">
        <v>358</v>
      </c>
    </row>
    <row r="44" spans="1:7" x14ac:dyDescent="0.25">
      <c r="A44" s="6">
        <v>31</v>
      </c>
      <c r="B44" s="6" t="s">
        <v>41</v>
      </c>
      <c r="C44" s="7"/>
      <c r="E44">
        <v>851</v>
      </c>
      <c r="F44" t="s">
        <v>359</v>
      </c>
      <c r="G44" t="s">
        <v>360</v>
      </c>
    </row>
    <row r="45" spans="1:7" x14ac:dyDescent="0.25">
      <c r="A45" s="6">
        <v>7</v>
      </c>
      <c r="B45" s="6" t="s">
        <v>114</v>
      </c>
      <c r="C45" s="7" t="s">
        <v>222</v>
      </c>
      <c r="E45">
        <v>900</v>
      </c>
      <c r="F45" t="s">
        <v>612</v>
      </c>
      <c r="G45" t="s">
        <v>613</v>
      </c>
    </row>
    <row r="46" spans="1:7" x14ac:dyDescent="0.25">
      <c r="A46" s="6">
        <v>17</v>
      </c>
      <c r="B46" s="6" t="s">
        <v>133</v>
      </c>
      <c r="C46" s="7" t="s">
        <v>221</v>
      </c>
      <c r="E46">
        <v>936</v>
      </c>
      <c r="F46" t="s">
        <v>614</v>
      </c>
      <c r="G46" t="s">
        <v>615</v>
      </c>
    </row>
    <row r="47" spans="1:7" x14ac:dyDescent="0.25">
      <c r="A47" s="6">
        <v>76</v>
      </c>
      <c r="B47" s="6" t="s">
        <v>30</v>
      </c>
      <c r="C47" s="7" t="s">
        <v>222</v>
      </c>
      <c r="E47">
        <v>937</v>
      </c>
      <c r="F47" t="s">
        <v>616</v>
      </c>
      <c r="G47" t="s">
        <v>617</v>
      </c>
    </row>
    <row r="48" spans="1:7" x14ac:dyDescent="0.25">
      <c r="A48" s="6">
        <v>36</v>
      </c>
      <c r="B48" s="6" t="s">
        <v>137</v>
      </c>
      <c r="C48" s="7" t="s">
        <v>221</v>
      </c>
      <c r="E48">
        <v>939</v>
      </c>
      <c r="F48" t="s">
        <v>331</v>
      </c>
      <c r="G48" t="s">
        <v>332</v>
      </c>
    </row>
    <row r="49" spans="1:7" x14ac:dyDescent="0.25">
      <c r="A49" s="6">
        <v>81</v>
      </c>
      <c r="B49" s="6" t="s">
        <v>29</v>
      </c>
      <c r="C49" s="7" t="s">
        <v>221</v>
      </c>
      <c r="E49">
        <v>940</v>
      </c>
      <c r="F49" t="s">
        <v>618</v>
      </c>
      <c r="G49" t="s">
        <v>619</v>
      </c>
    </row>
    <row r="50" spans="1:7" x14ac:dyDescent="0.25">
      <c r="A50" s="6">
        <v>74</v>
      </c>
      <c r="B50" s="6" t="s">
        <v>122</v>
      </c>
      <c r="C50" s="7" t="s">
        <v>221</v>
      </c>
      <c r="E50">
        <v>945</v>
      </c>
      <c r="F50" t="s">
        <v>361</v>
      </c>
      <c r="G50" t="s">
        <v>362</v>
      </c>
    </row>
    <row r="51" spans="1:7" x14ac:dyDescent="0.25">
      <c r="A51" s="6">
        <v>33</v>
      </c>
      <c r="B51" s="6" t="s">
        <v>33</v>
      </c>
      <c r="C51" s="7" t="s">
        <v>221</v>
      </c>
      <c r="E51">
        <v>959</v>
      </c>
      <c r="F51" t="s">
        <v>475</v>
      </c>
      <c r="G51" t="s">
        <v>468</v>
      </c>
    </row>
    <row r="52" spans="1:7" x14ac:dyDescent="0.25">
      <c r="A52" s="6">
        <v>80</v>
      </c>
      <c r="B52" s="6" t="s">
        <v>63</v>
      </c>
      <c r="C52" s="7" t="s">
        <v>222</v>
      </c>
      <c r="E52">
        <v>966</v>
      </c>
      <c r="F52" t="s">
        <v>521</v>
      </c>
      <c r="G52" t="s">
        <v>522</v>
      </c>
    </row>
    <row r="53" spans="1:7" x14ac:dyDescent="0.25">
      <c r="A53" s="6">
        <v>18</v>
      </c>
      <c r="B53" s="6" t="s">
        <v>118</v>
      </c>
      <c r="C53" s="7" t="s">
        <v>221</v>
      </c>
      <c r="E53">
        <v>1000</v>
      </c>
      <c r="F53" t="s">
        <v>962</v>
      </c>
      <c r="G53" t="s">
        <v>963</v>
      </c>
    </row>
    <row r="54" spans="1:7" x14ac:dyDescent="0.25">
      <c r="A54" s="6">
        <v>85</v>
      </c>
      <c r="B54" s="6" t="s">
        <v>102</v>
      </c>
      <c r="C54" s="7" t="s">
        <v>219</v>
      </c>
      <c r="E54">
        <v>1015</v>
      </c>
      <c r="F54" t="s">
        <v>473</v>
      </c>
      <c r="G54" t="s">
        <v>474</v>
      </c>
    </row>
    <row r="55" spans="1:7" x14ac:dyDescent="0.25">
      <c r="A55" s="6">
        <v>5</v>
      </c>
      <c r="B55" s="6" t="s">
        <v>6</v>
      </c>
      <c r="C55" s="7" t="s">
        <v>219</v>
      </c>
      <c r="E55">
        <v>1049</v>
      </c>
      <c r="F55" t="s">
        <v>449</v>
      </c>
      <c r="G55" t="s">
        <v>450</v>
      </c>
    </row>
    <row r="56" spans="1:7" x14ac:dyDescent="0.25">
      <c r="A56" s="6">
        <v>2</v>
      </c>
      <c r="B56" s="6" t="s">
        <v>1</v>
      </c>
      <c r="C56" s="7" t="s">
        <v>219</v>
      </c>
      <c r="E56">
        <v>1056</v>
      </c>
      <c r="F56" t="s">
        <v>484</v>
      </c>
      <c r="G56" t="s">
        <v>481</v>
      </c>
    </row>
    <row r="57" spans="1:7" x14ac:dyDescent="0.25">
      <c r="A57" s="6">
        <v>11</v>
      </c>
      <c r="B57" s="6" t="s">
        <v>89</v>
      </c>
      <c r="C57" s="7" t="s">
        <v>219</v>
      </c>
      <c r="E57">
        <v>1057</v>
      </c>
      <c r="F57" t="s">
        <v>483</v>
      </c>
      <c r="G57" t="s">
        <v>484</v>
      </c>
    </row>
    <row r="58" spans="1:7" x14ac:dyDescent="0.25">
      <c r="A58" s="6">
        <v>51</v>
      </c>
      <c r="B58" s="6" t="s">
        <v>85</v>
      </c>
      <c r="C58" s="7" t="s">
        <v>219</v>
      </c>
      <c r="E58">
        <v>1066</v>
      </c>
      <c r="F58" t="s">
        <v>486</v>
      </c>
      <c r="G58" t="s">
        <v>496</v>
      </c>
    </row>
    <row r="59" spans="1:7" x14ac:dyDescent="0.25">
      <c r="A59" s="6">
        <v>58</v>
      </c>
      <c r="B59" s="6" t="s">
        <v>66</v>
      </c>
      <c r="C59" s="7" t="s">
        <v>219</v>
      </c>
      <c r="E59">
        <v>1068</v>
      </c>
      <c r="F59" t="s">
        <v>461</v>
      </c>
      <c r="G59" t="s">
        <v>462</v>
      </c>
    </row>
    <row r="60" spans="1:7" x14ac:dyDescent="0.25">
      <c r="A60" s="6">
        <v>52</v>
      </c>
      <c r="B60" s="6" t="s">
        <v>16</v>
      </c>
      <c r="C60" s="7" t="s">
        <v>219</v>
      </c>
      <c r="E60">
        <v>1070</v>
      </c>
      <c r="F60" t="s">
        <v>463</v>
      </c>
      <c r="G60" t="s">
        <v>462</v>
      </c>
    </row>
    <row r="61" spans="1:7" x14ac:dyDescent="0.25">
      <c r="A61" s="6">
        <v>88</v>
      </c>
      <c r="B61" s="6" t="s">
        <v>15</v>
      </c>
      <c r="C61" s="7" t="s">
        <v>224</v>
      </c>
      <c r="E61">
        <v>1132</v>
      </c>
      <c r="F61" t="s">
        <v>283</v>
      </c>
      <c r="G61" t="s">
        <v>284</v>
      </c>
    </row>
    <row r="62" spans="1:7" x14ac:dyDescent="0.25">
      <c r="A62" s="6">
        <v>70</v>
      </c>
      <c r="B62" s="6" t="s">
        <v>22</v>
      </c>
      <c r="C62" s="7" t="s">
        <v>219</v>
      </c>
      <c r="E62">
        <v>1138</v>
      </c>
      <c r="F62" t="s">
        <v>429</v>
      </c>
      <c r="G62" t="s">
        <v>430</v>
      </c>
    </row>
    <row r="63" spans="1:7" x14ac:dyDescent="0.25">
      <c r="A63" s="6">
        <v>38</v>
      </c>
      <c r="B63" s="6" t="s">
        <v>35</v>
      </c>
      <c r="C63" s="7" t="s">
        <v>219</v>
      </c>
      <c r="E63">
        <v>1229</v>
      </c>
      <c r="F63" t="s">
        <v>285</v>
      </c>
      <c r="G63" t="s">
        <v>286</v>
      </c>
    </row>
    <row r="64" spans="1:7" x14ac:dyDescent="0.25">
      <c r="A64" s="6">
        <v>22</v>
      </c>
      <c r="B64" s="6" t="s">
        <v>45</v>
      </c>
      <c r="C64" s="7" t="s">
        <v>219</v>
      </c>
      <c r="E64">
        <v>1353</v>
      </c>
      <c r="F64" t="s">
        <v>277</v>
      </c>
      <c r="G64" t="s">
        <v>278</v>
      </c>
    </row>
    <row r="65" spans="1:7" x14ac:dyDescent="0.25">
      <c r="A65" s="6">
        <v>10</v>
      </c>
      <c r="B65" s="6" t="s">
        <v>90</v>
      </c>
      <c r="C65" s="7" t="s">
        <v>219</v>
      </c>
      <c r="E65">
        <v>1518</v>
      </c>
      <c r="F65" t="s">
        <v>476</v>
      </c>
      <c r="G65" t="s">
        <v>477</v>
      </c>
    </row>
    <row r="66" spans="1:7" x14ac:dyDescent="0.25">
      <c r="A66" s="6">
        <v>34</v>
      </c>
      <c r="B66" s="6" t="s">
        <v>136</v>
      </c>
      <c r="C66" s="7" t="s">
        <v>219</v>
      </c>
      <c r="E66">
        <v>1561</v>
      </c>
      <c r="F66" t="s">
        <v>246</v>
      </c>
      <c r="G66" t="s">
        <v>415</v>
      </c>
    </row>
    <row r="67" spans="1:7" x14ac:dyDescent="0.25">
      <c r="A67" s="6">
        <v>69</v>
      </c>
      <c r="B67" s="6" t="s">
        <v>97</v>
      </c>
      <c r="C67" s="7" t="s">
        <v>219</v>
      </c>
      <c r="E67">
        <v>1567</v>
      </c>
      <c r="F67" t="s">
        <v>512</v>
      </c>
      <c r="G67" t="s">
        <v>513</v>
      </c>
    </row>
    <row r="68" spans="1:7" x14ac:dyDescent="0.25">
      <c r="A68" s="6">
        <v>55</v>
      </c>
      <c r="B68" s="6" t="s">
        <v>104</v>
      </c>
      <c r="C68" s="7" t="s">
        <v>219</v>
      </c>
      <c r="E68">
        <v>1625</v>
      </c>
      <c r="F68" t="s">
        <v>369</v>
      </c>
      <c r="G68" t="s">
        <v>370</v>
      </c>
    </row>
    <row r="69" spans="1:7" x14ac:dyDescent="0.25">
      <c r="A69" s="6">
        <v>65</v>
      </c>
      <c r="B69" s="6" t="s">
        <v>50</v>
      </c>
      <c r="C69" s="7" t="s">
        <v>219</v>
      </c>
      <c r="E69">
        <v>1665</v>
      </c>
      <c r="F69" t="s">
        <v>313</v>
      </c>
      <c r="G69" t="s">
        <v>314</v>
      </c>
    </row>
    <row r="70" spans="1:7" x14ac:dyDescent="0.25">
      <c r="A70" s="6">
        <v>40</v>
      </c>
      <c r="B70" s="6" t="s">
        <v>14</v>
      </c>
      <c r="C70" s="7" t="s">
        <v>219</v>
      </c>
      <c r="E70">
        <v>1699</v>
      </c>
      <c r="F70" t="s">
        <v>651</v>
      </c>
      <c r="G70" t="s">
        <v>652</v>
      </c>
    </row>
    <row r="71" spans="1:7" x14ac:dyDescent="0.25">
      <c r="A71" s="6">
        <v>60</v>
      </c>
      <c r="B71" s="6" t="s">
        <v>88</v>
      </c>
      <c r="C71" s="7" t="s">
        <v>219</v>
      </c>
      <c r="E71">
        <v>1724</v>
      </c>
      <c r="F71" t="s">
        <v>659</v>
      </c>
      <c r="G71" t="s">
        <v>660</v>
      </c>
    </row>
    <row r="72" spans="1:7" x14ac:dyDescent="0.25">
      <c r="A72" s="6">
        <v>64</v>
      </c>
      <c r="B72" s="6" t="s">
        <v>93</v>
      </c>
      <c r="C72" s="7" t="s">
        <v>219</v>
      </c>
      <c r="E72">
        <v>1801</v>
      </c>
      <c r="F72" t="s">
        <v>307</v>
      </c>
      <c r="G72" t="s">
        <v>308</v>
      </c>
    </row>
    <row r="73" spans="1:7" x14ac:dyDescent="0.25">
      <c r="A73" s="6">
        <v>71</v>
      </c>
      <c r="B73" s="6" t="s">
        <v>108</v>
      </c>
      <c r="C73" s="7" t="s">
        <v>224</v>
      </c>
      <c r="E73">
        <v>1829</v>
      </c>
      <c r="F73" t="s">
        <v>464</v>
      </c>
      <c r="G73" t="s">
        <v>465</v>
      </c>
    </row>
    <row r="74" spans="1:7" x14ac:dyDescent="0.25">
      <c r="A74" s="6">
        <v>28</v>
      </c>
      <c r="B74" s="6" t="s">
        <v>134</v>
      </c>
      <c r="C74" s="7"/>
      <c r="E74">
        <v>1843</v>
      </c>
      <c r="F74" t="s">
        <v>273</v>
      </c>
      <c r="G74" t="s">
        <v>274</v>
      </c>
    </row>
    <row r="75" spans="1:7" x14ac:dyDescent="0.25">
      <c r="A75" s="6">
        <v>12</v>
      </c>
      <c r="B75" s="6" t="s">
        <v>109</v>
      </c>
      <c r="C75" s="7" t="s">
        <v>224</v>
      </c>
      <c r="E75">
        <v>1858</v>
      </c>
      <c r="F75" t="s">
        <v>431</v>
      </c>
      <c r="G75" t="s">
        <v>432</v>
      </c>
    </row>
    <row r="76" spans="1:7" x14ac:dyDescent="0.25">
      <c r="A76" s="6">
        <v>53</v>
      </c>
      <c r="B76" s="6" t="s">
        <v>107</v>
      </c>
      <c r="C76" s="7"/>
      <c r="E76">
        <v>1863</v>
      </c>
      <c r="F76" t="s">
        <v>252</v>
      </c>
      <c r="G76" t="s">
        <v>416</v>
      </c>
    </row>
    <row r="77" spans="1:7" x14ac:dyDescent="0.25">
      <c r="E77">
        <v>1969</v>
      </c>
      <c r="F77" t="s">
        <v>266</v>
      </c>
      <c r="G77" t="s">
        <v>419</v>
      </c>
    </row>
    <row r="78" spans="1:7" x14ac:dyDescent="0.25">
      <c r="E78">
        <v>2016</v>
      </c>
      <c r="F78" t="s">
        <v>667</v>
      </c>
      <c r="G78" t="s">
        <v>668</v>
      </c>
    </row>
    <row r="79" spans="1:7" x14ac:dyDescent="0.25">
      <c r="E79">
        <v>2090</v>
      </c>
      <c r="F79" t="s">
        <v>367</v>
      </c>
      <c r="G79" t="s">
        <v>368</v>
      </c>
    </row>
    <row r="80" spans="1:7" x14ac:dyDescent="0.25">
      <c r="E80">
        <v>2094</v>
      </c>
      <c r="F80" t="s">
        <v>335</v>
      </c>
      <c r="G80" t="s">
        <v>336</v>
      </c>
    </row>
    <row r="81" spans="5:7" x14ac:dyDescent="0.25">
      <c r="E81">
        <v>2098</v>
      </c>
      <c r="F81" t="s">
        <v>337</v>
      </c>
      <c r="G81" t="s">
        <v>338</v>
      </c>
    </row>
    <row r="82" spans="5:7" x14ac:dyDescent="0.25">
      <c r="E82">
        <v>2099</v>
      </c>
      <c r="F82" t="s">
        <v>514</v>
      </c>
      <c r="G82" t="s">
        <v>515</v>
      </c>
    </row>
    <row r="83" spans="5:7" x14ac:dyDescent="0.25">
      <c r="E83">
        <v>2135</v>
      </c>
      <c r="F83" t="s">
        <v>964</v>
      </c>
      <c r="G83" t="s">
        <v>965</v>
      </c>
    </row>
    <row r="84" spans="5:7" x14ac:dyDescent="0.25">
      <c r="E84">
        <v>2142</v>
      </c>
      <c r="F84" t="s">
        <v>287</v>
      </c>
      <c r="G84" t="s">
        <v>288</v>
      </c>
    </row>
    <row r="85" spans="5:7" x14ac:dyDescent="0.25">
      <c r="E85">
        <v>2147</v>
      </c>
      <c r="F85" t="s">
        <v>254</v>
      </c>
      <c r="G85" t="s">
        <v>417</v>
      </c>
    </row>
    <row r="86" spans="5:7" x14ac:dyDescent="0.25">
      <c r="E86">
        <v>2235</v>
      </c>
      <c r="F86" t="s">
        <v>333</v>
      </c>
      <c r="G86" t="s">
        <v>334</v>
      </c>
    </row>
    <row r="87" spans="5:7" x14ac:dyDescent="0.25">
      <c r="E87">
        <v>2236</v>
      </c>
      <c r="F87" t="s">
        <v>671</v>
      </c>
      <c r="G87" t="s">
        <v>672</v>
      </c>
    </row>
    <row r="88" spans="5:7" x14ac:dyDescent="0.25">
      <c r="E88">
        <v>2294</v>
      </c>
      <c r="F88" t="s">
        <v>256</v>
      </c>
      <c r="G88" t="s">
        <v>423</v>
      </c>
    </row>
    <row r="89" spans="5:7" x14ac:dyDescent="0.25">
      <c r="E89">
        <v>2295</v>
      </c>
      <c r="F89" t="s">
        <v>260</v>
      </c>
      <c r="G89" t="s">
        <v>424</v>
      </c>
    </row>
    <row r="90" spans="5:7" x14ac:dyDescent="0.25">
      <c r="E90">
        <v>2297</v>
      </c>
      <c r="F90" t="s">
        <v>258</v>
      </c>
      <c r="G90" t="s">
        <v>418</v>
      </c>
    </row>
    <row r="91" spans="5:7" x14ac:dyDescent="0.25">
      <c r="E91">
        <v>2320</v>
      </c>
      <c r="F91" t="s">
        <v>673</v>
      </c>
      <c r="G91" t="s">
        <v>674</v>
      </c>
    </row>
    <row r="92" spans="5:7" x14ac:dyDescent="0.25">
      <c r="E92">
        <v>2557</v>
      </c>
      <c r="F92" t="s">
        <v>268</v>
      </c>
      <c r="G92" t="s">
        <v>420</v>
      </c>
    </row>
    <row r="93" spans="5:7" x14ac:dyDescent="0.25">
      <c r="E93">
        <v>2568</v>
      </c>
      <c r="F93" t="s">
        <v>466</v>
      </c>
      <c r="G93" t="s">
        <v>467</v>
      </c>
    </row>
    <row r="94" spans="5:7" x14ac:dyDescent="0.25">
      <c r="E94">
        <v>2617</v>
      </c>
      <c r="F94" t="s">
        <v>966</v>
      </c>
      <c r="G94" t="s">
        <v>967</v>
      </c>
    </row>
    <row r="95" spans="5:7" x14ac:dyDescent="0.25">
      <c r="E95">
        <v>2628</v>
      </c>
      <c r="F95" t="s">
        <v>968</v>
      </c>
      <c r="G95" t="s">
        <v>969</v>
      </c>
    </row>
    <row r="96" spans="5:7" x14ac:dyDescent="0.25">
      <c r="E96">
        <v>2739</v>
      </c>
      <c r="F96" t="s">
        <v>468</v>
      </c>
      <c r="G96" t="s">
        <v>472</v>
      </c>
    </row>
    <row r="97" spans="5:7" x14ac:dyDescent="0.25">
      <c r="E97">
        <v>2740</v>
      </c>
      <c r="F97" t="s">
        <v>468</v>
      </c>
      <c r="G97" t="s">
        <v>469</v>
      </c>
    </row>
    <row r="98" spans="5:7" x14ac:dyDescent="0.25">
      <c r="E98">
        <v>2748</v>
      </c>
      <c r="F98" t="s">
        <v>421</v>
      </c>
      <c r="G98" t="s">
        <v>422</v>
      </c>
    </row>
    <row r="99" spans="5:7" x14ac:dyDescent="0.25">
      <c r="E99">
        <v>2918</v>
      </c>
      <c r="F99" t="s">
        <v>696</v>
      </c>
      <c r="G99" t="s">
        <v>697</v>
      </c>
    </row>
    <row r="100" spans="5:7" x14ac:dyDescent="0.25">
      <c r="E100">
        <v>2984</v>
      </c>
      <c r="F100" t="s">
        <v>970</v>
      </c>
      <c r="G100" t="s">
        <v>971</v>
      </c>
    </row>
    <row r="101" spans="5:7" x14ac:dyDescent="0.25">
      <c r="E101">
        <v>3005</v>
      </c>
      <c r="F101" t="s">
        <v>391</v>
      </c>
      <c r="G101" t="s">
        <v>392</v>
      </c>
    </row>
    <row r="102" spans="5:7" x14ac:dyDescent="0.25">
      <c r="E102">
        <v>3038</v>
      </c>
      <c r="F102" t="s">
        <v>706</v>
      </c>
      <c r="G102" t="s">
        <v>707</v>
      </c>
    </row>
    <row r="103" spans="5:7" x14ac:dyDescent="0.25">
      <c r="E103">
        <v>3104</v>
      </c>
      <c r="F103" t="s">
        <v>972</v>
      </c>
      <c r="G103" t="s">
        <v>973</v>
      </c>
    </row>
    <row r="104" spans="5:7" x14ac:dyDescent="0.25">
      <c r="E104">
        <v>3236</v>
      </c>
      <c r="F104" t="s">
        <v>725</v>
      </c>
      <c r="G104" t="s">
        <v>726</v>
      </c>
    </row>
    <row r="105" spans="5:7" x14ac:dyDescent="0.25">
      <c r="E105">
        <v>3237</v>
      </c>
      <c r="F105" t="s">
        <v>727</v>
      </c>
      <c r="G105" t="s">
        <v>728</v>
      </c>
    </row>
    <row r="106" spans="5:7" x14ac:dyDescent="0.25">
      <c r="E106">
        <v>3238</v>
      </c>
      <c r="F106" t="s">
        <v>729</v>
      </c>
      <c r="G106" t="s">
        <v>730</v>
      </c>
    </row>
    <row r="107" spans="5:7" x14ac:dyDescent="0.25">
      <c r="E107">
        <v>3239</v>
      </c>
      <c r="F107" t="s">
        <v>731</v>
      </c>
      <c r="G107" t="s">
        <v>732</v>
      </c>
    </row>
    <row r="108" spans="5:7" x14ac:dyDescent="0.25">
      <c r="E108">
        <v>3270</v>
      </c>
      <c r="F108" t="s">
        <v>457</v>
      </c>
      <c r="G108" t="s">
        <v>458</v>
      </c>
    </row>
    <row r="109" spans="5:7" x14ac:dyDescent="0.25">
      <c r="E109">
        <v>3319</v>
      </c>
      <c r="F109" t="s">
        <v>735</v>
      </c>
      <c r="G109" t="s">
        <v>736</v>
      </c>
    </row>
    <row r="110" spans="5:7" x14ac:dyDescent="0.25">
      <c r="E110">
        <v>3321</v>
      </c>
      <c r="F110" t="s">
        <v>472</v>
      </c>
      <c r="G110" t="s">
        <v>469</v>
      </c>
    </row>
    <row r="111" spans="5:7" x14ac:dyDescent="0.25">
      <c r="E111">
        <v>3596</v>
      </c>
      <c r="F111" t="s">
        <v>508</v>
      </c>
      <c r="G111" t="s">
        <v>509</v>
      </c>
    </row>
    <row r="112" spans="5:7" x14ac:dyDescent="0.25">
      <c r="E112">
        <v>3646</v>
      </c>
      <c r="F112" t="s">
        <v>745</v>
      </c>
      <c r="G112" t="s">
        <v>746</v>
      </c>
    </row>
    <row r="113" spans="5:7" x14ac:dyDescent="0.25">
      <c r="E113">
        <v>3648</v>
      </c>
      <c r="F113" t="s">
        <v>974</v>
      </c>
      <c r="G113" t="s">
        <v>975</v>
      </c>
    </row>
    <row r="114" spans="5:7" x14ac:dyDescent="0.25">
      <c r="E114">
        <v>3650</v>
      </c>
      <c r="F114" t="s">
        <v>747</v>
      </c>
      <c r="G114" t="s">
        <v>748</v>
      </c>
    </row>
    <row r="115" spans="5:7" x14ac:dyDescent="0.25">
      <c r="E115">
        <v>3654</v>
      </c>
      <c r="F115" t="s">
        <v>749</v>
      </c>
      <c r="G115" t="s">
        <v>750</v>
      </c>
    </row>
    <row r="116" spans="5:7" x14ac:dyDescent="0.25">
      <c r="E116">
        <v>3655</v>
      </c>
      <c r="F116" t="s">
        <v>751</v>
      </c>
      <c r="G116" t="s">
        <v>752</v>
      </c>
    </row>
    <row r="117" spans="5:7" x14ac:dyDescent="0.25">
      <c r="E117">
        <v>3656</v>
      </c>
      <c r="F117" t="s">
        <v>753</v>
      </c>
      <c r="G117" t="s">
        <v>754</v>
      </c>
    </row>
    <row r="118" spans="5:7" x14ac:dyDescent="0.25">
      <c r="E118">
        <v>3657</v>
      </c>
      <c r="F118" t="s">
        <v>755</v>
      </c>
      <c r="G118" t="s">
        <v>756</v>
      </c>
    </row>
    <row r="119" spans="5:7" x14ac:dyDescent="0.25">
      <c r="E119">
        <v>3658</v>
      </c>
      <c r="F119" t="s">
        <v>757</v>
      </c>
      <c r="G119" t="s">
        <v>758</v>
      </c>
    </row>
    <row r="120" spans="5:7" x14ac:dyDescent="0.25">
      <c r="E120">
        <v>3659</v>
      </c>
      <c r="F120" t="s">
        <v>759</v>
      </c>
      <c r="G120" t="s">
        <v>760</v>
      </c>
    </row>
    <row r="121" spans="5:7" x14ac:dyDescent="0.25">
      <c r="E121">
        <v>3660</v>
      </c>
      <c r="F121" t="s">
        <v>761</v>
      </c>
      <c r="G121" t="s">
        <v>762</v>
      </c>
    </row>
    <row r="122" spans="5:7" x14ac:dyDescent="0.25">
      <c r="E122">
        <v>3661</v>
      </c>
      <c r="F122" t="s">
        <v>763</v>
      </c>
      <c r="G122" t="s">
        <v>764</v>
      </c>
    </row>
    <row r="123" spans="5:7" x14ac:dyDescent="0.25">
      <c r="E123">
        <v>3662</v>
      </c>
      <c r="F123" t="s">
        <v>765</v>
      </c>
      <c r="G123" t="s">
        <v>766</v>
      </c>
    </row>
    <row r="124" spans="5:7" x14ac:dyDescent="0.25">
      <c r="E124">
        <v>3663</v>
      </c>
      <c r="F124" t="s">
        <v>767</v>
      </c>
      <c r="G124" t="s">
        <v>768</v>
      </c>
    </row>
    <row r="125" spans="5:7" x14ac:dyDescent="0.25">
      <c r="E125">
        <v>3664</v>
      </c>
      <c r="F125" t="s">
        <v>769</v>
      </c>
      <c r="G125" t="s">
        <v>770</v>
      </c>
    </row>
    <row r="126" spans="5:7" x14ac:dyDescent="0.25">
      <c r="E126">
        <v>3665</v>
      </c>
      <c r="F126" t="s">
        <v>771</v>
      </c>
      <c r="G126" t="s">
        <v>772</v>
      </c>
    </row>
    <row r="127" spans="5:7" x14ac:dyDescent="0.25">
      <c r="E127">
        <v>3940</v>
      </c>
      <c r="F127" t="s">
        <v>373</v>
      </c>
      <c r="G127" t="s">
        <v>374</v>
      </c>
    </row>
    <row r="128" spans="5:7" x14ac:dyDescent="0.25">
      <c r="E128">
        <v>4206</v>
      </c>
      <c r="F128" t="s">
        <v>775</v>
      </c>
      <c r="G128" t="s">
        <v>776</v>
      </c>
    </row>
    <row r="129" spans="5:7" x14ac:dyDescent="0.25">
      <c r="E129">
        <v>4238</v>
      </c>
      <c r="F129" t="s">
        <v>779</v>
      </c>
      <c r="G129" t="s">
        <v>780</v>
      </c>
    </row>
    <row r="130" spans="5:7" x14ac:dyDescent="0.25">
      <c r="E130">
        <v>4268</v>
      </c>
      <c r="F130" t="s">
        <v>781</v>
      </c>
      <c r="G130" t="s">
        <v>782</v>
      </c>
    </row>
    <row r="131" spans="5:7" x14ac:dyDescent="0.25">
      <c r="E131">
        <v>4378</v>
      </c>
      <c r="F131" t="s">
        <v>281</v>
      </c>
      <c r="G131" t="s">
        <v>282</v>
      </c>
    </row>
    <row r="132" spans="5:7" x14ac:dyDescent="0.25">
      <c r="E132">
        <v>4771</v>
      </c>
      <c r="F132" t="s">
        <v>809</v>
      </c>
      <c r="G132" t="s">
        <v>810</v>
      </c>
    </row>
    <row r="133" spans="5:7" x14ac:dyDescent="0.25">
      <c r="E133">
        <v>4773</v>
      </c>
      <c r="F133" t="s">
        <v>811</v>
      </c>
      <c r="G133" t="s">
        <v>812</v>
      </c>
    </row>
    <row r="134" spans="5:7" x14ac:dyDescent="0.25">
      <c r="E134">
        <v>4779</v>
      </c>
      <c r="F134" t="s">
        <v>271</v>
      </c>
      <c r="G134" t="s">
        <v>272</v>
      </c>
    </row>
    <row r="135" spans="5:7" x14ac:dyDescent="0.25">
      <c r="E135">
        <v>5577</v>
      </c>
      <c r="F135" t="s">
        <v>845</v>
      </c>
      <c r="G135" t="s">
        <v>846</v>
      </c>
    </row>
    <row r="136" spans="5:7" x14ac:dyDescent="0.25">
      <c r="E136">
        <v>5578</v>
      </c>
      <c r="F136" t="s">
        <v>847</v>
      </c>
      <c r="G136" t="s">
        <v>848</v>
      </c>
    </row>
    <row r="137" spans="5:7" x14ac:dyDescent="0.25">
      <c r="E137">
        <v>5635</v>
      </c>
      <c r="F137" t="s">
        <v>855</v>
      </c>
      <c r="G137" t="s">
        <v>856</v>
      </c>
    </row>
    <row r="138" spans="5:7" x14ac:dyDescent="0.25">
      <c r="E138">
        <v>8218</v>
      </c>
      <c r="F138" t="s">
        <v>890</v>
      </c>
      <c r="G138" t="s">
        <v>891</v>
      </c>
    </row>
    <row r="139" spans="5:7" x14ac:dyDescent="0.25">
      <c r="E139">
        <v>8233</v>
      </c>
      <c r="F139" t="s">
        <v>516</v>
      </c>
      <c r="G139" t="s">
        <v>517</v>
      </c>
    </row>
    <row r="140" spans="5:7" x14ac:dyDescent="0.25">
      <c r="E140">
        <v>8237</v>
      </c>
      <c r="F140" t="s">
        <v>289</v>
      </c>
      <c r="G140" t="s">
        <v>290</v>
      </c>
    </row>
    <row r="141" spans="5:7" x14ac:dyDescent="0.25">
      <c r="E141">
        <v>8238</v>
      </c>
      <c r="F141" t="s">
        <v>291</v>
      </c>
      <c r="G141" t="s">
        <v>292</v>
      </c>
    </row>
    <row r="142" spans="5:7" x14ac:dyDescent="0.25">
      <c r="E142">
        <v>8245</v>
      </c>
      <c r="F142" t="s">
        <v>293</v>
      </c>
      <c r="G142" t="s">
        <v>294</v>
      </c>
    </row>
    <row r="143" spans="5:7" x14ac:dyDescent="0.25">
      <c r="E143">
        <v>8368</v>
      </c>
      <c r="F143" t="s">
        <v>976</v>
      </c>
      <c r="G143" t="s">
        <v>977</v>
      </c>
    </row>
    <row r="144" spans="5:7" x14ac:dyDescent="0.25">
      <c r="E144">
        <v>8639</v>
      </c>
      <c r="F144" t="s">
        <v>475</v>
      </c>
      <c r="G144" t="s">
        <v>470</v>
      </c>
    </row>
    <row r="145" spans="5:7" x14ac:dyDescent="0.25">
      <c r="E145">
        <v>8700</v>
      </c>
      <c r="F145" t="s">
        <v>978</v>
      </c>
      <c r="G145" t="s">
        <v>979</v>
      </c>
    </row>
    <row r="146" spans="5:7" x14ac:dyDescent="0.25">
      <c r="E146">
        <v>9030</v>
      </c>
      <c r="F146" t="s">
        <v>494</v>
      </c>
      <c r="G146" t="s">
        <v>495</v>
      </c>
    </row>
    <row r="147" spans="5:7" x14ac:dyDescent="0.25">
      <c r="E147">
        <v>9099</v>
      </c>
      <c r="F147" t="s">
        <v>363</v>
      </c>
      <c r="G147" t="s">
        <v>364</v>
      </c>
    </row>
    <row r="148" spans="5:7" x14ac:dyDescent="0.25">
      <c r="E148">
        <v>9372</v>
      </c>
      <c r="F148" t="s">
        <v>510</v>
      </c>
      <c r="G148" t="s">
        <v>511</v>
      </c>
    </row>
    <row r="149" spans="5:7" x14ac:dyDescent="0.25">
      <c r="E149">
        <v>9380</v>
      </c>
      <c r="F149" t="s">
        <v>980</v>
      </c>
      <c r="G149" t="s">
        <v>981</v>
      </c>
    </row>
    <row r="150" spans="5:7" x14ac:dyDescent="0.25">
      <c r="E150">
        <v>9597</v>
      </c>
      <c r="F150" t="s">
        <v>982</v>
      </c>
      <c r="G150" t="s">
        <v>983</v>
      </c>
    </row>
    <row r="151" spans="5:7" x14ac:dyDescent="0.25">
      <c r="E151">
        <v>10244</v>
      </c>
      <c r="F151" t="s">
        <v>984</v>
      </c>
      <c r="G151" t="s">
        <v>985</v>
      </c>
    </row>
    <row r="152" spans="5:7" x14ac:dyDescent="0.25">
      <c r="E152">
        <v>10648</v>
      </c>
      <c r="F152" t="s">
        <v>986</v>
      </c>
      <c r="G152" t="s">
        <v>987</v>
      </c>
    </row>
    <row r="153" spans="5:7" x14ac:dyDescent="0.25">
      <c r="E153">
        <v>10716</v>
      </c>
      <c r="F153" t="s">
        <v>988</v>
      </c>
      <c r="G153" t="s">
        <v>989</v>
      </c>
    </row>
    <row r="154" spans="5:7" x14ac:dyDescent="0.25">
      <c r="E154">
        <v>10813</v>
      </c>
      <c r="F154" t="s">
        <v>916</v>
      </c>
      <c r="G154" t="s">
        <v>917</v>
      </c>
    </row>
    <row r="155" spans="5:7" x14ac:dyDescent="0.25">
      <c r="E155">
        <v>11029</v>
      </c>
      <c r="F155" t="s">
        <v>926</v>
      </c>
      <c r="G155" t="s">
        <v>927</v>
      </c>
    </row>
    <row r="156" spans="5:7" x14ac:dyDescent="0.25">
      <c r="E156">
        <v>11765</v>
      </c>
      <c r="F156" t="s">
        <v>928</v>
      </c>
      <c r="G156" t="s">
        <v>929</v>
      </c>
    </row>
    <row r="157" spans="5:7" x14ac:dyDescent="0.25">
      <c r="E157">
        <v>12035</v>
      </c>
      <c r="F157" t="s">
        <v>990</v>
      </c>
      <c r="G157" t="s">
        <v>991</v>
      </c>
    </row>
    <row r="158" spans="5:7" x14ac:dyDescent="0.25">
      <c r="E158">
        <v>12240</v>
      </c>
      <c r="F158" t="s">
        <v>992</v>
      </c>
      <c r="G158" t="s">
        <v>993</v>
      </c>
    </row>
    <row r="159" spans="5:7" x14ac:dyDescent="0.25">
      <c r="E159">
        <v>12852</v>
      </c>
      <c r="F159" t="s">
        <v>938</v>
      </c>
      <c r="G159" t="s">
        <v>939</v>
      </c>
    </row>
  </sheetData>
  <pageMargins left="0.7" right="0.7" top="0.75" bottom="0.75" header="0.3" footer="0.3"/>
  <pageSetup orientation="portrait" r:id="rId1"/>
  <tableParts count="3">
    <tablePart r:id="rId2"/>
    <tablePart r:id="rId3"/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009EA-8D40-4AE5-A66C-B93D70CABB8D}">
  <dimension ref="A1:K205"/>
  <sheetViews>
    <sheetView workbookViewId="0">
      <selection activeCell="J15" sqref="J15"/>
    </sheetView>
  </sheetViews>
  <sheetFormatPr defaultRowHeight="15" x14ac:dyDescent="0.25"/>
  <cols>
    <col min="2" max="2" width="8.7109375" bestFit="1" customWidth="1"/>
    <col min="3" max="3" width="34.85546875" bestFit="1" customWidth="1"/>
    <col min="5" max="5" width="6" bestFit="1" customWidth="1"/>
    <col min="6" max="6" width="78.7109375" bestFit="1" customWidth="1"/>
    <col min="7" max="7" width="81.140625" bestFit="1" customWidth="1"/>
  </cols>
  <sheetData>
    <row r="1" spans="1:11" x14ac:dyDescent="0.25">
      <c r="A1" t="s">
        <v>226</v>
      </c>
      <c r="B1" t="s">
        <v>227</v>
      </c>
      <c r="C1" t="s">
        <v>228</v>
      </c>
      <c r="E1" t="s">
        <v>226</v>
      </c>
      <c r="F1" t="s">
        <v>237</v>
      </c>
      <c r="G1" t="s">
        <v>238</v>
      </c>
      <c r="I1" t="s">
        <v>228</v>
      </c>
      <c r="J1" t="s">
        <v>1063</v>
      </c>
      <c r="K1" t="s">
        <v>1064</v>
      </c>
    </row>
    <row r="2" spans="1:11" x14ac:dyDescent="0.25">
      <c r="A2" s="7">
        <v>50</v>
      </c>
      <c r="B2" s="7" t="s">
        <v>24</v>
      </c>
      <c r="C2" s="7" t="s">
        <v>225</v>
      </c>
      <c r="E2">
        <v>14</v>
      </c>
      <c r="F2" t="s">
        <v>455</v>
      </c>
      <c r="G2" t="s">
        <v>456</v>
      </c>
      <c r="I2" s="9" t="s">
        <v>221</v>
      </c>
      <c r="J2" s="6">
        <f>COUNTIF(Genitalium_ec[Module],I2)</f>
        <v>14</v>
      </c>
      <c r="K2" s="19">
        <f t="shared" ref="K2:K9" si="0">J2/$J$9</f>
        <v>0.1891891891891892</v>
      </c>
    </row>
    <row r="3" spans="1:11" x14ac:dyDescent="0.25">
      <c r="A3" s="7">
        <v>104</v>
      </c>
      <c r="B3" s="7" t="s">
        <v>42</v>
      </c>
      <c r="C3" s="7" t="s">
        <v>221</v>
      </c>
      <c r="E3">
        <v>104</v>
      </c>
      <c r="F3" t="s">
        <v>385</v>
      </c>
      <c r="G3" t="s">
        <v>386</v>
      </c>
      <c r="I3" s="9" t="s">
        <v>223</v>
      </c>
      <c r="J3" s="6">
        <f>COUNTIF(Genitalium_ec[Module],I3)</f>
        <v>6</v>
      </c>
      <c r="K3" s="19">
        <f t="shared" si="0"/>
        <v>8.1081081081081086E-2</v>
      </c>
    </row>
    <row r="4" spans="1:11" x14ac:dyDescent="0.25">
      <c r="A4" s="7">
        <v>103</v>
      </c>
      <c r="B4" s="7" t="s">
        <v>166</v>
      </c>
      <c r="C4" s="7" t="s">
        <v>221</v>
      </c>
      <c r="E4">
        <v>137</v>
      </c>
      <c r="F4" t="s">
        <v>393</v>
      </c>
      <c r="G4" t="s">
        <v>394</v>
      </c>
      <c r="I4" s="9" t="s">
        <v>225</v>
      </c>
      <c r="J4" s="6">
        <f>COUNTIF(Genitalium_ec[Module],I4)</f>
        <v>12</v>
      </c>
      <c r="K4" s="19">
        <f t="shared" si="0"/>
        <v>0.16216216216216217</v>
      </c>
    </row>
    <row r="5" spans="1:11" x14ac:dyDescent="0.25">
      <c r="A5" s="7">
        <v>49</v>
      </c>
      <c r="B5" s="7" t="s">
        <v>71</v>
      </c>
      <c r="C5" s="7" t="s">
        <v>224</v>
      </c>
      <c r="E5">
        <v>158</v>
      </c>
      <c r="F5" t="s">
        <v>315</v>
      </c>
      <c r="G5" t="s">
        <v>316</v>
      </c>
      <c r="I5" s="9" t="s">
        <v>222</v>
      </c>
      <c r="J5" s="6">
        <f>COUNTIF(Genitalium_ec[Module],I5)</f>
        <v>8</v>
      </c>
      <c r="K5" s="19">
        <f t="shared" si="0"/>
        <v>0.10810810810810811</v>
      </c>
    </row>
    <row r="6" spans="1:11" x14ac:dyDescent="0.25">
      <c r="A6" s="7">
        <v>63</v>
      </c>
      <c r="B6" s="7" t="s">
        <v>233</v>
      </c>
      <c r="C6" s="7"/>
      <c r="E6">
        <v>161</v>
      </c>
      <c r="F6" t="s">
        <v>343</v>
      </c>
      <c r="G6" t="s">
        <v>344</v>
      </c>
      <c r="I6" s="9" t="s">
        <v>224</v>
      </c>
      <c r="J6" s="6">
        <f>COUNTIF(Genitalium_ec[Module],I6)</f>
        <v>14</v>
      </c>
      <c r="K6" s="19">
        <f t="shared" si="0"/>
        <v>0.1891891891891892</v>
      </c>
    </row>
    <row r="7" spans="1:11" x14ac:dyDescent="0.25">
      <c r="A7" s="7">
        <v>105</v>
      </c>
      <c r="B7" s="7" t="s">
        <v>43</v>
      </c>
      <c r="C7" s="7" t="s">
        <v>219</v>
      </c>
      <c r="E7">
        <v>162</v>
      </c>
      <c r="F7" t="s">
        <v>547</v>
      </c>
      <c r="G7" t="s">
        <v>548</v>
      </c>
      <c r="I7" s="9" t="s">
        <v>219</v>
      </c>
      <c r="J7" s="6">
        <v>3</v>
      </c>
      <c r="K7" s="19">
        <f t="shared" si="0"/>
        <v>4.0540540540540543E-2</v>
      </c>
    </row>
    <row r="8" spans="1:11" x14ac:dyDescent="0.25">
      <c r="A8" s="7">
        <v>27</v>
      </c>
      <c r="B8" s="7" t="s">
        <v>27</v>
      </c>
      <c r="C8" s="7"/>
      <c r="E8">
        <v>164</v>
      </c>
      <c r="F8" t="s">
        <v>954</v>
      </c>
      <c r="G8" t="s">
        <v>955</v>
      </c>
      <c r="I8" s="9" t="s">
        <v>235</v>
      </c>
      <c r="J8" s="6">
        <f>COUNTBLANK(Genitalium_ec[Module])</f>
        <v>17</v>
      </c>
      <c r="K8" s="19">
        <f t="shared" si="0"/>
        <v>0.22972972972972974</v>
      </c>
    </row>
    <row r="9" spans="1:11" x14ac:dyDescent="0.25">
      <c r="A9" s="7">
        <v>97</v>
      </c>
      <c r="B9" s="7" t="s">
        <v>164</v>
      </c>
      <c r="C9" s="7"/>
      <c r="E9">
        <v>177</v>
      </c>
      <c r="F9" t="s">
        <v>501</v>
      </c>
      <c r="G9" t="s">
        <v>502</v>
      </c>
      <c r="I9" t="s">
        <v>1065</v>
      </c>
      <c r="J9" s="6">
        <f>SUM(J2:J8)</f>
        <v>74</v>
      </c>
      <c r="K9" s="19">
        <f t="shared" si="0"/>
        <v>1</v>
      </c>
    </row>
    <row r="10" spans="1:11" x14ac:dyDescent="0.25">
      <c r="A10" s="7">
        <v>96</v>
      </c>
      <c r="B10" s="7" t="s">
        <v>163</v>
      </c>
      <c r="C10" s="7"/>
      <c r="E10">
        <v>188</v>
      </c>
      <c r="F10" t="s">
        <v>956</v>
      </c>
      <c r="G10" t="s">
        <v>957</v>
      </c>
    </row>
    <row r="11" spans="1:11" x14ac:dyDescent="0.25">
      <c r="A11" s="7">
        <v>77</v>
      </c>
      <c r="B11" s="7" t="s">
        <v>154</v>
      </c>
      <c r="C11" s="7"/>
      <c r="E11">
        <v>189</v>
      </c>
      <c r="F11" t="s">
        <v>387</v>
      </c>
      <c r="G11" t="s">
        <v>388</v>
      </c>
    </row>
    <row r="12" spans="1:11" x14ac:dyDescent="0.25">
      <c r="A12" s="7">
        <v>88</v>
      </c>
      <c r="B12" s="7" t="s">
        <v>159</v>
      </c>
      <c r="C12" s="7" t="s">
        <v>222</v>
      </c>
      <c r="E12">
        <v>190</v>
      </c>
      <c r="F12" t="s">
        <v>279</v>
      </c>
      <c r="G12" t="s">
        <v>280</v>
      </c>
    </row>
    <row r="13" spans="1:11" x14ac:dyDescent="0.25">
      <c r="A13" s="7">
        <v>80</v>
      </c>
      <c r="B13" s="7" t="s">
        <v>57</v>
      </c>
      <c r="C13" s="7" t="s">
        <v>224</v>
      </c>
      <c r="E13">
        <v>200</v>
      </c>
      <c r="F13" t="s">
        <v>425</v>
      </c>
      <c r="G13" t="s">
        <v>426</v>
      </c>
    </row>
    <row r="14" spans="1:11" x14ac:dyDescent="0.25">
      <c r="A14" s="7">
        <v>62</v>
      </c>
      <c r="B14" s="7" t="s">
        <v>147</v>
      </c>
      <c r="C14" s="7" t="s">
        <v>221</v>
      </c>
      <c r="E14">
        <v>230</v>
      </c>
      <c r="F14" t="s">
        <v>395</v>
      </c>
      <c r="G14" t="s">
        <v>396</v>
      </c>
    </row>
    <row r="15" spans="1:11" x14ac:dyDescent="0.25">
      <c r="A15" s="7">
        <v>54</v>
      </c>
      <c r="B15" s="7" t="s">
        <v>144</v>
      </c>
      <c r="C15" s="7" t="s">
        <v>223</v>
      </c>
      <c r="E15">
        <v>289</v>
      </c>
      <c r="F15" t="s">
        <v>523</v>
      </c>
      <c r="G15" t="s">
        <v>524</v>
      </c>
    </row>
    <row r="16" spans="1:11" x14ac:dyDescent="0.25">
      <c r="A16" s="7">
        <v>15</v>
      </c>
      <c r="B16" s="7" t="s">
        <v>131</v>
      </c>
      <c r="C16" s="7"/>
      <c r="E16">
        <v>291</v>
      </c>
      <c r="F16" t="s">
        <v>498</v>
      </c>
      <c r="G16" t="s">
        <v>499</v>
      </c>
    </row>
    <row r="17" spans="1:7" x14ac:dyDescent="0.25">
      <c r="A17" s="7">
        <v>81</v>
      </c>
      <c r="B17" s="7" t="s">
        <v>156</v>
      </c>
      <c r="C17" s="7" t="s">
        <v>223</v>
      </c>
      <c r="E17">
        <v>315</v>
      </c>
      <c r="F17" t="s">
        <v>275</v>
      </c>
      <c r="G17" t="s">
        <v>276</v>
      </c>
    </row>
    <row r="18" spans="1:7" x14ac:dyDescent="0.25">
      <c r="A18" s="7">
        <v>106</v>
      </c>
      <c r="B18" s="7" t="s">
        <v>101</v>
      </c>
      <c r="C18" s="7" t="s">
        <v>223</v>
      </c>
      <c r="E18">
        <v>332</v>
      </c>
      <c r="F18" t="s">
        <v>365</v>
      </c>
      <c r="G18" t="s">
        <v>366</v>
      </c>
    </row>
    <row r="19" spans="1:7" x14ac:dyDescent="0.25">
      <c r="A19" s="7">
        <v>64</v>
      </c>
      <c r="B19" s="7" t="s">
        <v>148</v>
      </c>
      <c r="C19" s="7" t="s">
        <v>219</v>
      </c>
      <c r="E19">
        <v>375</v>
      </c>
      <c r="F19" t="s">
        <v>561</v>
      </c>
      <c r="G19" t="s">
        <v>562</v>
      </c>
    </row>
    <row r="20" spans="1:7" x14ac:dyDescent="0.25">
      <c r="A20" s="7">
        <v>70</v>
      </c>
      <c r="B20" s="7" t="s">
        <v>19</v>
      </c>
      <c r="C20" s="7" t="s">
        <v>222</v>
      </c>
      <c r="E20">
        <v>376</v>
      </c>
      <c r="F20" t="s">
        <v>563</v>
      </c>
      <c r="G20" t="s">
        <v>562</v>
      </c>
    </row>
    <row r="21" spans="1:7" x14ac:dyDescent="0.25">
      <c r="A21" s="7">
        <v>17</v>
      </c>
      <c r="B21" s="7" t="s">
        <v>132</v>
      </c>
      <c r="C21" s="7" t="s">
        <v>225</v>
      </c>
      <c r="E21">
        <v>377</v>
      </c>
      <c r="F21" t="s">
        <v>564</v>
      </c>
      <c r="G21" t="s">
        <v>562</v>
      </c>
    </row>
    <row r="22" spans="1:7" x14ac:dyDescent="0.25">
      <c r="A22" s="7">
        <v>65</v>
      </c>
      <c r="B22" s="7" t="s">
        <v>149</v>
      </c>
      <c r="C22" s="7" t="s">
        <v>225</v>
      </c>
      <c r="E22">
        <v>378</v>
      </c>
      <c r="F22" t="s">
        <v>565</v>
      </c>
      <c r="G22" t="s">
        <v>562</v>
      </c>
    </row>
    <row r="23" spans="1:7" x14ac:dyDescent="0.25">
      <c r="A23" s="7">
        <v>100</v>
      </c>
      <c r="B23" s="7" t="s">
        <v>10</v>
      </c>
      <c r="C23" s="7" t="s">
        <v>225</v>
      </c>
      <c r="E23">
        <v>379</v>
      </c>
      <c r="F23" t="s">
        <v>566</v>
      </c>
      <c r="G23" t="s">
        <v>567</v>
      </c>
    </row>
    <row r="24" spans="1:7" x14ac:dyDescent="0.25">
      <c r="A24" s="7">
        <v>9</v>
      </c>
      <c r="B24" s="7" t="s">
        <v>128</v>
      </c>
      <c r="C24" s="7" t="s">
        <v>225</v>
      </c>
      <c r="E24">
        <v>382</v>
      </c>
      <c r="F24" t="s">
        <v>568</v>
      </c>
      <c r="G24" t="s">
        <v>569</v>
      </c>
    </row>
    <row r="25" spans="1:7" x14ac:dyDescent="0.25">
      <c r="A25" s="7">
        <v>16</v>
      </c>
      <c r="B25" s="7" t="s">
        <v>105</v>
      </c>
      <c r="C25" s="7" t="s">
        <v>219</v>
      </c>
      <c r="E25">
        <v>418</v>
      </c>
      <c r="F25" t="s">
        <v>958</v>
      </c>
      <c r="G25" t="s">
        <v>959</v>
      </c>
    </row>
    <row r="26" spans="1:7" x14ac:dyDescent="0.25">
      <c r="A26" s="7">
        <v>46</v>
      </c>
      <c r="B26" s="7" t="s">
        <v>100</v>
      </c>
      <c r="C26" s="7" t="s">
        <v>221</v>
      </c>
      <c r="E26">
        <v>430</v>
      </c>
      <c r="F26" t="s">
        <v>427</v>
      </c>
      <c r="G26" t="s">
        <v>428</v>
      </c>
    </row>
    <row r="27" spans="1:7" x14ac:dyDescent="0.25">
      <c r="A27" s="7">
        <v>10</v>
      </c>
      <c r="B27" s="7" t="s">
        <v>129</v>
      </c>
      <c r="C27" s="7" t="s">
        <v>225</v>
      </c>
      <c r="E27">
        <v>435</v>
      </c>
      <c r="F27" t="s">
        <v>576</v>
      </c>
      <c r="G27" t="s">
        <v>577</v>
      </c>
    </row>
    <row r="28" spans="1:7" x14ac:dyDescent="0.25">
      <c r="A28" s="7">
        <v>36</v>
      </c>
      <c r="B28" s="7" t="s">
        <v>36</v>
      </c>
      <c r="C28" s="7" t="s">
        <v>224</v>
      </c>
      <c r="E28">
        <v>441</v>
      </c>
      <c r="F28" t="s">
        <v>578</v>
      </c>
      <c r="G28" t="s">
        <v>577</v>
      </c>
    </row>
    <row r="29" spans="1:7" x14ac:dyDescent="0.25">
      <c r="A29" s="7">
        <v>39</v>
      </c>
      <c r="B29" s="7" t="s">
        <v>139</v>
      </c>
      <c r="C29" s="7" t="s">
        <v>224</v>
      </c>
      <c r="E29">
        <v>442</v>
      </c>
      <c r="F29" t="s">
        <v>579</v>
      </c>
      <c r="G29" t="s">
        <v>577</v>
      </c>
    </row>
    <row r="30" spans="1:7" x14ac:dyDescent="0.25">
      <c r="A30" s="7">
        <v>14</v>
      </c>
      <c r="B30" s="7" t="s">
        <v>130</v>
      </c>
      <c r="C30" s="7" t="s">
        <v>223</v>
      </c>
      <c r="E30">
        <v>443</v>
      </c>
      <c r="F30" t="s">
        <v>580</v>
      </c>
      <c r="G30" t="s">
        <v>577</v>
      </c>
    </row>
    <row r="31" spans="1:7" x14ac:dyDescent="0.25">
      <c r="A31" s="7">
        <v>108</v>
      </c>
      <c r="B31" s="7" t="s">
        <v>231</v>
      </c>
      <c r="C31" s="7" t="s">
        <v>223</v>
      </c>
      <c r="E31">
        <v>444</v>
      </c>
      <c r="F31" t="s">
        <v>581</v>
      </c>
      <c r="G31" t="s">
        <v>577</v>
      </c>
    </row>
    <row r="32" spans="1:7" x14ac:dyDescent="0.25">
      <c r="A32" s="7">
        <v>47</v>
      </c>
      <c r="B32" s="7" t="s">
        <v>99</v>
      </c>
      <c r="C32" s="7" t="s">
        <v>221</v>
      </c>
      <c r="E32">
        <v>505</v>
      </c>
      <c r="F32" t="s">
        <v>499</v>
      </c>
      <c r="G32" t="s">
        <v>500</v>
      </c>
    </row>
    <row r="33" spans="1:7" x14ac:dyDescent="0.25">
      <c r="A33" s="7">
        <v>85</v>
      </c>
      <c r="B33" s="7" t="s">
        <v>158</v>
      </c>
      <c r="C33" s="7" t="s">
        <v>225</v>
      </c>
      <c r="E33">
        <v>508</v>
      </c>
      <c r="F33" t="s">
        <v>243</v>
      </c>
      <c r="G33" t="s">
        <v>244</v>
      </c>
    </row>
    <row r="34" spans="1:7" x14ac:dyDescent="0.25">
      <c r="A34" s="7">
        <v>109</v>
      </c>
      <c r="B34" s="7" t="s">
        <v>232</v>
      </c>
      <c r="C34" s="7" t="s">
        <v>223</v>
      </c>
      <c r="E34">
        <v>512</v>
      </c>
      <c r="F34" t="s">
        <v>311</v>
      </c>
      <c r="G34" t="s">
        <v>312</v>
      </c>
    </row>
    <row r="35" spans="1:7" x14ac:dyDescent="0.25">
      <c r="A35" s="7">
        <v>30</v>
      </c>
      <c r="B35" s="7" t="s">
        <v>26</v>
      </c>
      <c r="C35" s="7"/>
      <c r="E35">
        <v>513</v>
      </c>
      <c r="F35" t="s">
        <v>1019</v>
      </c>
      <c r="G35" t="s">
        <v>1020</v>
      </c>
    </row>
    <row r="36" spans="1:7" x14ac:dyDescent="0.25">
      <c r="A36" s="7">
        <v>78</v>
      </c>
      <c r="B36" s="7" t="s">
        <v>155</v>
      </c>
      <c r="C36" s="7" t="s">
        <v>222</v>
      </c>
      <c r="E36">
        <v>517</v>
      </c>
      <c r="F36" t="s">
        <v>1023</v>
      </c>
      <c r="G36" t="s">
        <v>1024</v>
      </c>
    </row>
    <row r="37" spans="1:7" x14ac:dyDescent="0.25">
      <c r="A37" s="7">
        <v>79</v>
      </c>
      <c r="B37" s="7" t="s">
        <v>28</v>
      </c>
      <c r="C37" s="7" t="s">
        <v>222</v>
      </c>
      <c r="E37">
        <v>549</v>
      </c>
      <c r="F37" t="s">
        <v>433</v>
      </c>
      <c r="G37" t="s">
        <v>434</v>
      </c>
    </row>
    <row r="38" spans="1:7" x14ac:dyDescent="0.25">
      <c r="A38" s="7">
        <v>92</v>
      </c>
      <c r="B38" s="7" t="s">
        <v>161</v>
      </c>
      <c r="C38" s="7"/>
      <c r="E38">
        <v>572</v>
      </c>
      <c r="F38" t="s">
        <v>584</v>
      </c>
      <c r="G38" t="s">
        <v>585</v>
      </c>
    </row>
    <row r="39" spans="1:7" x14ac:dyDescent="0.25">
      <c r="A39" s="7">
        <v>95</v>
      </c>
      <c r="B39" s="7" t="s">
        <v>162</v>
      </c>
      <c r="C39" s="7" t="s">
        <v>225</v>
      </c>
      <c r="E39">
        <v>597</v>
      </c>
      <c r="F39" t="s">
        <v>960</v>
      </c>
      <c r="G39" t="s">
        <v>961</v>
      </c>
    </row>
    <row r="40" spans="1:7" x14ac:dyDescent="0.25">
      <c r="A40" s="7">
        <v>74</v>
      </c>
      <c r="B40" s="7" t="s">
        <v>153</v>
      </c>
      <c r="C40" s="7" t="s">
        <v>225</v>
      </c>
      <c r="E40">
        <v>600</v>
      </c>
      <c r="F40" t="s">
        <v>960</v>
      </c>
      <c r="G40" t="s">
        <v>1014</v>
      </c>
    </row>
    <row r="41" spans="1:7" x14ac:dyDescent="0.25">
      <c r="A41" s="7">
        <v>29</v>
      </c>
      <c r="B41" s="7" t="s">
        <v>56</v>
      </c>
      <c r="C41" s="7" t="s">
        <v>225</v>
      </c>
      <c r="E41">
        <v>621</v>
      </c>
      <c r="F41" t="s">
        <v>1033</v>
      </c>
      <c r="G41" t="s">
        <v>1034</v>
      </c>
    </row>
    <row r="42" spans="1:7" x14ac:dyDescent="0.25">
      <c r="A42" s="7">
        <v>3</v>
      </c>
      <c r="B42" s="7" t="s">
        <v>5</v>
      </c>
      <c r="C42" s="7" t="s">
        <v>225</v>
      </c>
      <c r="E42">
        <v>658</v>
      </c>
      <c r="F42" t="s">
        <v>476</v>
      </c>
      <c r="G42" t="s">
        <v>478</v>
      </c>
    </row>
    <row r="43" spans="1:7" x14ac:dyDescent="0.25">
      <c r="A43" s="7">
        <v>22</v>
      </c>
      <c r="B43" s="7" t="s">
        <v>8</v>
      </c>
      <c r="C43" s="7" t="s">
        <v>221</v>
      </c>
      <c r="E43">
        <v>659</v>
      </c>
      <c r="F43" t="s">
        <v>588</v>
      </c>
      <c r="G43" t="s">
        <v>589</v>
      </c>
    </row>
    <row r="44" spans="1:7" x14ac:dyDescent="0.25">
      <c r="A44" s="7">
        <v>53</v>
      </c>
      <c r="B44" s="7" t="s">
        <v>143</v>
      </c>
      <c r="C44" s="7" t="s">
        <v>224</v>
      </c>
      <c r="E44">
        <v>724</v>
      </c>
      <c r="F44" t="s">
        <v>592</v>
      </c>
      <c r="G44" t="s">
        <v>593</v>
      </c>
    </row>
    <row r="45" spans="1:7" x14ac:dyDescent="0.25">
      <c r="A45" s="7">
        <v>40</v>
      </c>
      <c r="B45" s="7" t="s">
        <v>140</v>
      </c>
      <c r="C45" s="7" t="s">
        <v>224</v>
      </c>
      <c r="E45">
        <v>756</v>
      </c>
      <c r="F45" t="s">
        <v>596</v>
      </c>
      <c r="G45" t="s">
        <v>597</v>
      </c>
    </row>
    <row r="46" spans="1:7" x14ac:dyDescent="0.25">
      <c r="A46" s="7">
        <v>7</v>
      </c>
      <c r="B46" s="7" t="s">
        <v>17</v>
      </c>
      <c r="C46" s="7"/>
      <c r="E46">
        <v>767</v>
      </c>
      <c r="F46" t="s">
        <v>598</v>
      </c>
      <c r="G46" t="s">
        <v>599</v>
      </c>
    </row>
    <row r="47" spans="1:7" x14ac:dyDescent="0.25">
      <c r="A47" s="7">
        <v>0</v>
      </c>
      <c r="B47" s="7" t="s">
        <v>0</v>
      </c>
      <c r="C47" s="7"/>
      <c r="E47">
        <v>769</v>
      </c>
      <c r="F47" t="s">
        <v>602</v>
      </c>
      <c r="G47" t="s">
        <v>603</v>
      </c>
    </row>
    <row r="48" spans="1:7" x14ac:dyDescent="0.25">
      <c r="A48" s="7">
        <v>98</v>
      </c>
      <c r="B48" s="7" t="s">
        <v>165</v>
      </c>
      <c r="C48" s="7" t="s">
        <v>221</v>
      </c>
      <c r="E48">
        <v>770</v>
      </c>
      <c r="F48" t="s">
        <v>604</v>
      </c>
      <c r="G48" t="s">
        <v>605</v>
      </c>
    </row>
    <row r="49" spans="1:7" x14ac:dyDescent="0.25">
      <c r="A49" s="7">
        <v>45</v>
      </c>
      <c r="B49" s="7" t="s">
        <v>111</v>
      </c>
      <c r="C49" s="7" t="s">
        <v>224</v>
      </c>
      <c r="E49">
        <v>771</v>
      </c>
      <c r="F49" t="s">
        <v>470</v>
      </c>
      <c r="G49" t="s">
        <v>471</v>
      </c>
    </row>
    <row r="50" spans="1:7" x14ac:dyDescent="0.25">
      <c r="A50" s="7">
        <v>69</v>
      </c>
      <c r="B50" s="7" t="s">
        <v>150</v>
      </c>
      <c r="C50" s="7"/>
      <c r="E50">
        <v>847</v>
      </c>
      <c r="F50" t="s">
        <v>357</v>
      </c>
      <c r="G50" t="s">
        <v>358</v>
      </c>
    </row>
    <row r="51" spans="1:7" x14ac:dyDescent="0.25">
      <c r="A51" s="7">
        <v>82</v>
      </c>
      <c r="B51" s="7" t="s">
        <v>157</v>
      </c>
      <c r="C51" s="7" t="s">
        <v>224</v>
      </c>
      <c r="E51">
        <v>851</v>
      </c>
      <c r="F51" t="s">
        <v>359</v>
      </c>
      <c r="G51" t="s">
        <v>360</v>
      </c>
    </row>
    <row r="52" spans="1:7" x14ac:dyDescent="0.25">
      <c r="A52" s="7">
        <v>23</v>
      </c>
      <c r="B52" s="7" t="s">
        <v>9</v>
      </c>
      <c r="C52" s="7"/>
      <c r="E52">
        <v>900</v>
      </c>
      <c r="F52" t="s">
        <v>612</v>
      </c>
      <c r="G52" t="s">
        <v>613</v>
      </c>
    </row>
    <row r="53" spans="1:7" x14ac:dyDescent="0.25">
      <c r="A53" s="7">
        <v>73</v>
      </c>
      <c r="B53" s="7" t="s">
        <v>152</v>
      </c>
      <c r="C53" s="7" t="s">
        <v>224</v>
      </c>
      <c r="E53">
        <v>921</v>
      </c>
      <c r="F53" t="s">
        <v>397</v>
      </c>
      <c r="G53" t="s">
        <v>398</v>
      </c>
    </row>
    <row r="54" spans="1:7" x14ac:dyDescent="0.25">
      <c r="A54" s="7">
        <v>59</v>
      </c>
      <c r="B54" s="7" t="s">
        <v>145</v>
      </c>
      <c r="C54" s="7"/>
      <c r="E54">
        <v>936</v>
      </c>
      <c r="F54" t="s">
        <v>614</v>
      </c>
      <c r="G54" t="s">
        <v>615</v>
      </c>
    </row>
    <row r="55" spans="1:7" x14ac:dyDescent="0.25">
      <c r="A55" s="7">
        <v>43</v>
      </c>
      <c r="B55" s="7" t="s">
        <v>141</v>
      </c>
      <c r="C55" s="7" t="s">
        <v>222</v>
      </c>
      <c r="E55">
        <v>937</v>
      </c>
      <c r="F55" t="s">
        <v>616</v>
      </c>
      <c r="G55" t="s">
        <v>617</v>
      </c>
    </row>
    <row r="56" spans="1:7" x14ac:dyDescent="0.25">
      <c r="A56" s="7">
        <v>107</v>
      </c>
      <c r="B56" s="7" t="s">
        <v>230</v>
      </c>
      <c r="C56" s="7" t="s">
        <v>224</v>
      </c>
      <c r="E56">
        <v>939</v>
      </c>
      <c r="F56" t="s">
        <v>331</v>
      </c>
      <c r="G56" t="s">
        <v>332</v>
      </c>
    </row>
    <row r="57" spans="1:7" x14ac:dyDescent="0.25">
      <c r="A57" s="7">
        <v>28</v>
      </c>
      <c r="B57" s="7" t="s">
        <v>41</v>
      </c>
      <c r="C57" s="7"/>
      <c r="E57">
        <v>940</v>
      </c>
      <c r="F57" t="s">
        <v>618</v>
      </c>
      <c r="G57" t="s">
        <v>619</v>
      </c>
    </row>
    <row r="58" spans="1:7" x14ac:dyDescent="0.25">
      <c r="A58" s="7">
        <v>19</v>
      </c>
      <c r="B58" s="7" t="s">
        <v>86</v>
      </c>
      <c r="C58" s="7" t="s">
        <v>225</v>
      </c>
      <c r="E58">
        <v>945</v>
      </c>
      <c r="F58" t="s">
        <v>361</v>
      </c>
      <c r="G58" t="s">
        <v>362</v>
      </c>
    </row>
    <row r="59" spans="1:7" x14ac:dyDescent="0.25">
      <c r="A59" s="7">
        <v>8</v>
      </c>
      <c r="B59" s="7" t="s">
        <v>114</v>
      </c>
      <c r="C59" s="7" t="s">
        <v>222</v>
      </c>
      <c r="E59">
        <v>959</v>
      </c>
      <c r="F59" t="s">
        <v>475</v>
      </c>
      <c r="G59" t="s">
        <v>468</v>
      </c>
    </row>
    <row r="60" spans="1:7" x14ac:dyDescent="0.25">
      <c r="A60" s="7">
        <v>18</v>
      </c>
      <c r="B60" s="7" t="s">
        <v>133</v>
      </c>
      <c r="C60" s="7" t="s">
        <v>221</v>
      </c>
      <c r="E60">
        <v>964</v>
      </c>
      <c r="F60" t="s">
        <v>1021</v>
      </c>
      <c r="G60" t="s">
        <v>1022</v>
      </c>
    </row>
    <row r="61" spans="1:7" x14ac:dyDescent="0.25">
      <c r="A61" s="7">
        <v>91</v>
      </c>
      <c r="B61" s="7" t="s">
        <v>30</v>
      </c>
      <c r="C61" s="7" t="s">
        <v>222</v>
      </c>
      <c r="E61">
        <v>966</v>
      </c>
      <c r="F61" t="s">
        <v>521</v>
      </c>
      <c r="G61" t="s">
        <v>522</v>
      </c>
    </row>
    <row r="62" spans="1:7" x14ac:dyDescent="0.25">
      <c r="A62" s="7">
        <v>33</v>
      </c>
      <c r="B62" s="7" t="s">
        <v>137</v>
      </c>
      <c r="C62" s="7" t="s">
        <v>221</v>
      </c>
      <c r="E62">
        <v>968</v>
      </c>
      <c r="F62" t="s">
        <v>1025</v>
      </c>
      <c r="G62" t="s">
        <v>1026</v>
      </c>
    </row>
    <row r="63" spans="1:7" x14ac:dyDescent="0.25">
      <c r="A63" s="7">
        <v>94</v>
      </c>
      <c r="B63" s="7" t="s">
        <v>29</v>
      </c>
      <c r="C63" s="7" t="s">
        <v>221</v>
      </c>
      <c r="E63">
        <v>1015</v>
      </c>
      <c r="F63" t="s">
        <v>473</v>
      </c>
      <c r="G63" t="s">
        <v>474</v>
      </c>
    </row>
    <row r="64" spans="1:7" x14ac:dyDescent="0.25">
      <c r="A64" s="7">
        <v>89</v>
      </c>
      <c r="B64" s="7" t="s">
        <v>122</v>
      </c>
      <c r="C64" s="7" t="s">
        <v>221</v>
      </c>
      <c r="E64">
        <v>1021</v>
      </c>
      <c r="F64" t="s">
        <v>1039</v>
      </c>
      <c r="G64" t="s">
        <v>1040</v>
      </c>
    </row>
    <row r="65" spans="1:7" x14ac:dyDescent="0.25">
      <c r="A65" s="7">
        <v>31</v>
      </c>
      <c r="B65" s="7" t="s">
        <v>33</v>
      </c>
      <c r="C65" s="7" t="s">
        <v>221</v>
      </c>
      <c r="E65">
        <v>1049</v>
      </c>
      <c r="F65" t="s">
        <v>449</v>
      </c>
      <c r="G65" t="s">
        <v>450</v>
      </c>
    </row>
    <row r="66" spans="1:7" x14ac:dyDescent="0.25">
      <c r="A66" s="7">
        <v>93</v>
      </c>
      <c r="B66" s="7" t="s">
        <v>63</v>
      </c>
      <c r="C66" s="7" t="s">
        <v>222</v>
      </c>
      <c r="E66">
        <v>1056</v>
      </c>
      <c r="F66" t="s">
        <v>484</v>
      </c>
      <c r="G66" t="s">
        <v>481</v>
      </c>
    </row>
    <row r="67" spans="1:7" x14ac:dyDescent="0.25">
      <c r="A67" s="7">
        <v>20</v>
      </c>
      <c r="B67" s="7" t="s">
        <v>118</v>
      </c>
      <c r="C67" s="7" t="s">
        <v>221</v>
      </c>
      <c r="E67">
        <v>1057</v>
      </c>
      <c r="F67" t="s">
        <v>483</v>
      </c>
      <c r="G67" t="s">
        <v>484</v>
      </c>
    </row>
    <row r="68" spans="1:7" x14ac:dyDescent="0.25">
      <c r="A68" s="7">
        <v>42</v>
      </c>
      <c r="B68" s="7" t="s">
        <v>120</v>
      </c>
      <c r="C68" s="7"/>
      <c r="E68">
        <v>1066</v>
      </c>
      <c r="F68" t="s">
        <v>486</v>
      </c>
      <c r="G68" t="s">
        <v>496</v>
      </c>
    </row>
    <row r="69" spans="1:7" x14ac:dyDescent="0.25">
      <c r="A69" s="7">
        <v>38</v>
      </c>
      <c r="B69" s="7" t="s">
        <v>138</v>
      </c>
      <c r="C69" s="7" t="s">
        <v>221</v>
      </c>
      <c r="E69">
        <v>1068</v>
      </c>
      <c r="F69" t="s">
        <v>461</v>
      </c>
      <c r="G69" t="s">
        <v>462</v>
      </c>
    </row>
    <row r="70" spans="1:7" x14ac:dyDescent="0.25">
      <c r="A70" s="7">
        <v>99</v>
      </c>
      <c r="B70" s="7" t="s">
        <v>102</v>
      </c>
      <c r="C70" s="7" t="s">
        <v>219</v>
      </c>
      <c r="E70">
        <v>1070</v>
      </c>
      <c r="F70" t="s">
        <v>463</v>
      </c>
      <c r="G70" t="s">
        <v>462</v>
      </c>
    </row>
    <row r="71" spans="1:7" x14ac:dyDescent="0.25">
      <c r="A71" s="7">
        <v>6</v>
      </c>
      <c r="B71" s="7" t="s">
        <v>6</v>
      </c>
      <c r="C71" s="7" t="s">
        <v>219</v>
      </c>
      <c r="E71">
        <v>1132</v>
      </c>
      <c r="F71" t="s">
        <v>283</v>
      </c>
      <c r="G71" t="s">
        <v>284</v>
      </c>
    </row>
    <row r="72" spans="1:7" x14ac:dyDescent="0.25">
      <c r="A72" s="7">
        <v>2</v>
      </c>
      <c r="B72" s="7" t="s">
        <v>1</v>
      </c>
      <c r="C72" s="7" t="s">
        <v>219</v>
      </c>
      <c r="E72">
        <v>1138</v>
      </c>
      <c r="F72" t="s">
        <v>429</v>
      </c>
      <c r="G72" t="s">
        <v>430</v>
      </c>
    </row>
    <row r="73" spans="1:7" x14ac:dyDescent="0.25">
      <c r="A73" s="7">
        <v>12</v>
      </c>
      <c r="B73" s="7" t="s">
        <v>89</v>
      </c>
      <c r="C73" s="7" t="s">
        <v>219</v>
      </c>
      <c r="E73">
        <v>1229</v>
      </c>
      <c r="F73" t="s">
        <v>285</v>
      </c>
      <c r="G73" t="s">
        <v>286</v>
      </c>
    </row>
    <row r="74" spans="1:7" x14ac:dyDescent="0.25">
      <c r="A74" s="7">
        <v>55</v>
      </c>
      <c r="B74" s="7" t="s">
        <v>85</v>
      </c>
      <c r="C74" s="7" t="s">
        <v>219</v>
      </c>
      <c r="E74">
        <v>1353</v>
      </c>
      <c r="F74" t="s">
        <v>277</v>
      </c>
      <c r="G74" t="s">
        <v>278</v>
      </c>
    </row>
    <row r="75" spans="1:7" x14ac:dyDescent="0.25">
      <c r="A75" s="7">
        <v>66</v>
      </c>
      <c r="B75" s="7" t="s">
        <v>66</v>
      </c>
      <c r="C75" s="7" t="s">
        <v>219</v>
      </c>
      <c r="E75">
        <v>1468</v>
      </c>
      <c r="F75" t="s">
        <v>1041</v>
      </c>
      <c r="G75" t="s">
        <v>1042</v>
      </c>
    </row>
    <row r="76" spans="1:7" x14ac:dyDescent="0.25">
      <c r="A76" s="7">
        <v>56</v>
      </c>
      <c r="B76" s="7" t="s">
        <v>16</v>
      </c>
      <c r="C76" s="7" t="s">
        <v>219</v>
      </c>
      <c r="E76">
        <v>1512</v>
      </c>
      <c r="F76" t="s">
        <v>413</v>
      </c>
      <c r="G76" t="s">
        <v>414</v>
      </c>
    </row>
    <row r="77" spans="1:7" x14ac:dyDescent="0.25">
      <c r="A77" s="7">
        <v>101</v>
      </c>
      <c r="B77" s="7" t="s">
        <v>15</v>
      </c>
      <c r="C77" s="7" t="s">
        <v>224</v>
      </c>
      <c r="E77">
        <v>1518</v>
      </c>
      <c r="F77" t="s">
        <v>476</v>
      </c>
      <c r="G77" t="s">
        <v>477</v>
      </c>
    </row>
    <row r="78" spans="1:7" x14ac:dyDescent="0.25">
      <c r="A78" s="7">
        <v>84</v>
      </c>
      <c r="B78" s="7" t="s">
        <v>22</v>
      </c>
      <c r="C78" s="7" t="s">
        <v>219</v>
      </c>
      <c r="E78">
        <v>1561</v>
      </c>
      <c r="F78" t="s">
        <v>246</v>
      </c>
      <c r="G78" t="s">
        <v>415</v>
      </c>
    </row>
    <row r="79" spans="1:7" x14ac:dyDescent="0.25">
      <c r="A79" s="7">
        <v>35</v>
      </c>
      <c r="B79" s="7" t="s">
        <v>35</v>
      </c>
      <c r="C79" s="7" t="s">
        <v>219</v>
      </c>
      <c r="E79">
        <v>1567</v>
      </c>
      <c r="F79" t="s">
        <v>512</v>
      </c>
      <c r="G79" t="s">
        <v>513</v>
      </c>
    </row>
    <row r="80" spans="1:7" x14ac:dyDescent="0.25">
      <c r="A80" s="7">
        <v>44</v>
      </c>
      <c r="B80" s="7" t="s">
        <v>45</v>
      </c>
      <c r="C80" s="7" t="s">
        <v>219</v>
      </c>
      <c r="E80">
        <v>1623</v>
      </c>
      <c r="F80" t="s">
        <v>1037</v>
      </c>
      <c r="G80" t="s">
        <v>1038</v>
      </c>
    </row>
    <row r="81" spans="1:7" x14ac:dyDescent="0.25">
      <c r="A81" s="7">
        <v>11</v>
      </c>
      <c r="B81" s="7" t="s">
        <v>90</v>
      </c>
      <c r="C81" s="7" t="s">
        <v>219</v>
      </c>
      <c r="E81">
        <v>1625</v>
      </c>
      <c r="F81" t="s">
        <v>369</v>
      </c>
      <c r="G81" t="s">
        <v>370</v>
      </c>
    </row>
    <row r="82" spans="1:7" x14ac:dyDescent="0.25">
      <c r="A82" s="7">
        <v>32</v>
      </c>
      <c r="B82" s="7" t="s">
        <v>136</v>
      </c>
      <c r="C82" s="7" t="s">
        <v>219</v>
      </c>
      <c r="E82">
        <v>1665</v>
      </c>
      <c r="F82" t="s">
        <v>313</v>
      </c>
      <c r="G82" t="s">
        <v>314</v>
      </c>
    </row>
    <row r="83" spans="1:7" x14ac:dyDescent="0.25">
      <c r="A83" s="7">
        <v>83</v>
      </c>
      <c r="B83" s="7" t="s">
        <v>97</v>
      </c>
      <c r="C83" s="7" t="s">
        <v>219</v>
      </c>
      <c r="E83">
        <v>1698</v>
      </c>
      <c r="F83" t="s">
        <v>649</v>
      </c>
      <c r="G83" t="s">
        <v>650</v>
      </c>
    </row>
    <row r="84" spans="1:7" x14ac:dyDescent="0.25">
      <c r="A84" s="7">
        <v>60</v>
      </c>
      <c r="B84" s="7" t="s">
        <v>104</v>
      </c>
      <c r="C84" s="7" t="s">
        <v>219</v>
      </c>
      <c r="E84">
        <v>1699</v>
      </c>
      <c r="F84" t="s">
        <v>651</v>
      </c>
      <c r="G84" t="s">
        <v>652</v>
      </c>
    </row>
    <row r="85" spans="1:7" x14ac:dyDescent="0.25">
      <c r="A85" s="7">
        <v>76</v>
      </c>
      <c r="B85" s="7" t="s">
        <v>50</v>
      </c>
      <c r="C85" s="7" t="s">
        <v>219</v>
      </c>
      <c r="E85">
        <v>1700</v>
      </c>
      <c r="F85" t="s">
        <v>1031</v>
      </c>
      <c r="G85" t="s">
        <v>1032</v>
      </c>
    </row>
    <row r="86" spans="1:7" x14ac:dyDescent="0.25">
      <c r="A86" s="7">
        <v>37</v>
      </c>
      <c r="B86" s="7" t="s">
        <v>14</v>
      </c>
      <c r="C86" s="7" t="s">
        <v>219</v>
      </c>
      <c r="E86">
        <v>1724</v>
      </c>
      <c r="F86" t="s">
        <v>659</v>
      </c>
      <c r="G86" t="s">
        <v>660</v>
      </c>
    </row>
    <row r="87" spans="1:7" x14ac:dyDescent="0.25">
      <c r="A87" s="7">
        <v>68</v>
      </c>
      <c r="B87" s="7" t="s">
        <v>88</v>
      </c>
      <c r="C87" s="7" t="s">
        <v>219</v>
      </c>
      <c r="E87">
        <v>1829</v>
      </c>
      <c r="F87" t="s">
        <v>464</v>
      </c>
      <c r="G87" t="s">
        <v>465</v>
      </c>
    </row>
    <row r="88" spans="1:7" x14ac:dyDescent="0.25">
      <c r="A88" s="7">
        <v>75</v>
      </c>
      <c r="B88" s="7" t="s">
        <v>93</v>
      </c>
      <c r="C88" s="7" t="s">
        <v>219</v>
      </c>
      <c r="E88">
        <v>1843</v>
      </c>
      <c r="F88" t="s">
        <v>273</v>
      </c>
      <c r="G88" t="s">
        <v>274</v>
      </c>
    </row>
    <row r="89" spans="1:7" x14ac:dyDescent="0.25">
      <c r="A89" s="7">
        <v>61</v>
      </c>
      <c r="B89" s="7" t="s">
        <v>146</v>
      </c>
      <c r="C89" s="7" t="s">
        <v>224</v>
      </c>
      <c r="E89">
        <v>1858</v>
      </c>
      <c r="F89" t="s">
        <v>431</v>
      </c>
      <c r="G89" t="s">
        <v>432</v>
      </c>
    </row>
    <row r="90" spans="1:7" x14ac:dyDescent="0.25">
      <c r="A90" s="7">
        <v>86</v>
      </c>
      <c r="B90" s="7" t="s">
        <v>108</v>
      </c>
      <c r="C90" s="7" t="s">
        <v>224</v>
      </c>
      <c r="E90">
        <v>1863</v>
      </c>
      <c r="F90" t="s">
        <v>252</v>
      </c>
      <c r="G90" t="s">
        <v>416</v>
      </c>
    </row>
    <row r="91" spans="1:7" x14ac:dyDescent="0.25">
      <c r="A91" s="7">
        <v>24</v>
      </c>
      <c r="B91" s="7" t="s">
        <v>134</v>
      </c>
      <c r="C91" s="7"/>
      <c r="E91">
        <v>1878</v>
      </c>
      <c r="F91" t="s">
        <v>663</v>
      </c>
      <c r="G91" t="s">
        <v>664</v>
      </c>
    </row>
    <row r="92" spans="1:7" x14ac:dyDescent="0.25">
      <c r="A92" s="7">
        <v>13</v>
      </c>
      <c r="B92" s="7" t="s">
        <v>109</v>
      </c>
      <c r="C92" s="7" t="s">
        <v>224</v>
      </c>
      <c r="E92">
        <v>1969</v>
      </c>
      <c r="F92" t="s">
        <v>266</v>
      </c>
      <c r="G92" t="s">
        <v>419</v>
      </c>
    </row>
    <row r="93" spans="1:7" x14ac:dyDescent="0.25">
      <c r="A93" s="7">
        <v>57</v>
      </c>
      <c r="B93" s="7" t="s">
        <v>107</v>
      </c>
      <c r="C93" s="7"/>
      <c r="E93">
        <v>2016</v>
      </c>
      <c r="F93" t="s">
        <v>667</v>
      </c>
      <c r="G93" t="s">
        <v>668</v>
      </c>
    </row>
    <row r="94" spans="1:7" x14ac:dyDescent="0.25">
      <c r="E94">
        <v>2017</v>
      </c>
      <c r="F94" t="s">
        <v>435</v>
      </c>
      <c r="G94" t="s">
        <v>436</v>
      </c>
    </row>
    <row r="95" spans="1:7" x14ac:dyDescent="0.25">
      <c r="E95">
        <v>2018</v>
      </c>
      <c r="F95" t="s">
        <v>437</v>
      </c>
      <c r="G95" t="s">
        <v>438</v>
      </c>
    </row>
    <row r="96" spans="1:7" x14ac:dyDescent="0.25">
      <c r="E96">
        <v>2019</v>
      </c>
      <c r="F96" t="s">
        <v>439</v>
      </c>
      <c r="G96" t="s">
        <v>440</v>
      </c>
    </row>
    <row r="97" spans="5:7" x14ac:dyDescent="0.25">
      <c r="E97">
        <v>2024</v>
      </c>
      <c r="F97" t="s">
        <v>441</v>
      </c>
      <c r="G97" t="s">
        <v>442</v>
      </c>
    </row>
    <row r="98" spans="5:7" x14ac:dyDescent="0.25">
      <c r="E98">
        <v>2090</v>
      </c>
      <c r="F98" t="s">
        <v>367</v>
      </c>
      <c r="G98" t="s">
        <v>368</v>
      </c>
    </row>
    <row r="99" spans="5:7" x14ac:dyDescent="0.25">
      <c r="E99">
        <v>2094</v>
      </c>
      <c r="F99" t="s">
        <v>335</v>
      </c>
      <c r="G99" t="s">
        <v>336</v>
      </c>
    </row>
    <row r="100" spans="5:7" x14ac:dyDescent="0.25">
      <c r="E100">
        <v>2098</v>
      </c>
      <c r="F100" t="s">
        <v>337</v>
      </c>
      <c r="G100" t="s">
        <v>338</v>
      </c>
    </row>
    <row r="101" spans="5:7" x14ac:dyDescent="0.25">
      <c r="E101">
        <v>2099</v>
      </c>
      <c r="F101" t="s">
        <v>514</v>
      </c>
      <c r="G101" t="s">
        <v>515</v>
      </c>
    </row>
    <row r="102" spans="5:7" x14ac:dyDescent="0.25">
      <c r="E102">
        <v>2135</v>
      </c>
      <c r="F102" t="s">
        <v>964</v>
      </c>
      <c r="G102" t="s">
        <v>965</v>
      </c>
    </row>
    <row r="103" spans="5:7" x14ac:dyDescent="0.25">
      <c r="E103">
        <v>2142</v>
      </c>
      <c r="F103" t="s">
        <v>287</v>
      </c>
      <c r="G103" t="s">
        <v>288</v>
      </c>
    </row>
    <row r="104" spans="5:7" x14ac:dyDescent="0.25">
      <c r="E104">
        <v>2147</v>
      </c>
      <c r="F104" t="s">
        <v>254</v>
      </c>
      <c r="G104" t="s">
        <v>417</v>
      </c>
    </row>
    <row r="105" spans="5:7" x14ac:dyDescent="0.25">
      <c r="E105">
        <v>2235</v>
      </c>
      <c r="F105" t="s">
        <v>333</v>
      </c>
      <c r="G105" t="s">
        <v>334</v>
      </c>
    </row>
    <row r="106" spans="5:7" x14ac:dyDescent="0.25">
      <c r="E106">
        <v>2236</v>
      </c>
      <c r="F106" t="s">
        <v>671</v>
      </c>
      <c r="G106" t="s">
        <v>672</v>
      </c>
    </row>
    <row r="107" spans="5:7" x14ac:dyDescent="0.25">
      <c r="E107">
        <v>2241</v>
      </c>
      <c r="F107" t="s">
        <v>241</v>
      </c>
      <c r="G107" t="s">
        <v>242</v>
      </c>
    </row>
    <row r="108" spans="5:7" x14ac:dyDescent="0.25">
      <c r="E108">
        <v>2294</v>
      </c>
      <c r="F108" t="s">
        <v>256</v>
      </c>
      <c r="G108" t="s">
        <v>423</v>
      </c>
    </row>
    <row r="109" spans="5:7" x14ac:dyDescent="0.25">
      <c r="E109">
        <v>2295</v>
      </c>
      <c r="F109" t="s">
        <v>260</v>
      </c>
      <c r="G109" t="s">
        <v>424</v>
      </c>
    </row>
    <row r="110" spans="5:7" x14ac:dyDescent="0.25">
      <c r="E110">
        <v>2297</v>
      </c>
      <c r="F110" t="s">
        <v>258</v>
      </c>
      <c r="G110" t="s">
        <v>418</v>
      </c>
    </row>
    <row r="111" spans="5:7" x14ac:dyDescent="0.25">
      <c r="E111">
        <v>2320</v>
      </c>
      <c r="F111" t="s">
        <v>673</v>
      </c>
      <c r="G111" t="s">
        <v>674</v>
      </c>
    </row>
    <row r="112" spans="5:7" x14ac:dyDescent="0.25">
      <c r="E112">
        <v>2485</v>
      </c>
      <c r="F112" t="s">
        <v>681</v>
      </c>
      <c r="G112" t="s">
        <v>682</v>
      </c>
    </row>
    <row r="113" spans="5:7" x14ac:dyDescent="0.25">
      <c r="E113">
        <v>2557</v>
      </c>
      <c r="F113" t="s">
        <v>268</v>
      </c>
      <c r="G113" t="s">
        <v>420</v>
      </c>
    </row>
    <row r="114" spans="5:7" x14ac:dyDescent="0.25">
      <c r="E114">
        <v>2568</v>
      </c>
      <c r="F114" t="s">
        <v>466</v>
      </c>
      <c r="G114" t="s">
        <v>467</v>
      </c>
    </row>
    <row r="115" spans="5:7" x14ac:dyDescent="0.25">
      <c r="E115">
        <v>2569</v>
      </c>
      <c r="F115" t="s">
        <v>459</v>
      </c>
      <c r="G115" t="s">
        <v>460</v>
      </c>
    </row>
    <row r="116" spans="5:7" x14ac:dyDescent="0.25">
      <c r="E116">
        <v>2570</v>
      </c>
      <c r="F116" t="s">
        <v>1010</v>
      </c>
      <c r="G116" t="s">
        <v>1011</v>
      </c>
    </row>
    <row r="117" spans="5:7" x14ac:dyDescent="0.25">
      <c r="E117">
        <v>2571</v>
      </c>
      <c r="F117" t="s">
        <v>1012</v>
      </c>
      <c r="G117" t="s">
        <v>1013</v>
      </c>
    </row>
    <row r="118" spans="5:7" x14ac:dyDescent="0.25">
      <c r="E118">
        <v>2617</v>
      </c>
      <c r="F118" t="s">
        <v>966</v>
      </c>
      <c r="G118" t="s">
        <v>967</v>
      </c>
    </row>
    <row r="119" spans="5:7" x14ac:dyDescent="0.25">
      <c r="E119">
        <v>2628</v>
      </c>
      <c r="F119" t="s">
        <v>968</v>
      </c>
      <c r="G119" t="s">
        <v>969</v>
      </c>
    </row>
    <row r="120" spans="5:7" x14ac:dyDescent="0.25">
      <c r="E120">
        <v>2739</v>
      </c>
      <c r="F120" t="s">
        <v>468</v>
      </c>
      <c r="G120" t="s">
        <v>472</v>
      </c>
    </row>
    <row r="121" spans="5:7" x14ac:dyDescent="0.25">
      <c r="E121">
        <v>2740</v>
      </c>
      <c r="F121" t="s">
        <v>468</v>
      </c>
      <c r="G121" t="s">
        <v>469</v>
      </c>
    </row>
    <row r="122" spans="5:7" x14ac:dyDescent="0.25">
      <c r="E122">
        <v>2748</v>
      </c>
      <c r="F122" t="s">
        <v>421</v>
      </c>
      <c r="G122" t="s">
        <v>422</v>
      </c>
    </row>
    <row r="123" spans="5:7" x14ac:dyDescent="0.25">
      <c r="E123">
        <v>2760</v>
      </c>
      <c r="F123" t="s">
        <v>686</v>
      </c>
      <c r="G123" t="s">
        <v>687</v>
      </c>
    </row>
    <row r="124" spans="5:7" x14ac:dyDescent="0.25">
      <c r="E124">
        <v>2918</v>
      </c>
      <c r="F124" t="s">
        <v>696</v>
      </c>
      <c r="G124" t="s">
        <v>697</v>
      </c>
    </row>
    <row r="125" spans="5:7" x14ac:dyDescent="0.25">
      <c r="E125">
        <v>2984</v>
      </c>
      <c r="F125" t="s">
        <v>970</v>
      </c>
      <c r="G125" t="s">
        <v>971</v>
      </c>
    </row>
    <row r="126" spans="5:7" x14ac:dyDescent="0.25">
      <c r="E126">
        <v>3005</v>
      </c>
      <c r="F126" t="s">
        <v>391</v>
      </c>
      <c r="G126" t="s">
        <v>392</v>
      </c>
    </row>
    <row r="127" spans="5:7" x14ac:dyDescent="0.25">
      <c r="E127">
        <v>3020</v>
      </c>
      <c r="F127" t="s">
        <v>702</v>
      </c>
      <c r="G127" t="s">
        <v>703</v>
      </c>
    </row>
    <row r="128" spans="5:7" x14ac:dyDescent="0.25">
      <c r="E128">
        <v>3038</v>
      </c>
      <c r="F128" t="s">
        <v>706</v>
      </c>
      <c r="G128" t="s">
        <v>707</v>
      </c>
    </row>
    <row r="129" spans="5:7" x14ac:dyDescent="0.25">
      <c r="E129">
        <v>3236</v>
      </c>
      <c r="F129" t="s">
        <v>725</v>
      </c>
      <c r="G129" t="s">
        <v>726</v>
      </c>
    </row>
    <row r="130" spans="5:7" x14ac:dyDescent="0.25">
      <c r="E130">
        <v>3237</v>
      </c>
      <c r="F130" t="s">
        <v>727</v>
      </c>
      <c r="G130" t="s">
        <v>728</v>
      </c>
    </row>
    <row r="131" spans="5:7" x14ac:dyDescent="0.25">
      <c r="E131">
        <v>3238</v>
      </c>
      <c r="F131" t="s">
        <v>729</v>
      </c>
      <c r="G131" t="s">
        <v>730</v>
      </c>
    </row>
    <row r="132" spans="5:7" x14ac:dyDescent="0.25">
      <c r="E132">
        <v>3239</v>
      </c>
      <c r="F132" t="s">
        <v>731</v>
      </c>
      <c r="G132" t="s">
        <v>732</v>
      </c>
    </row>
    <row r="133" spans="5:7" x14ac:dyDescent="0.25">
      <c r="E133">
        <v>3270</v>
      </c>
      <c r="F133" t="s">
        <v>457</v>
      </c>
      <c r="G133" t="s">
        <v>458</v>
      </c>
    </row>
    <row r="134" spans="5:7" x14ac:dyDescent="0.25">
      <c r="E134">
        <v>3316</v>
      </c>
      <c r="F134" t="s">
        <v>1035</v>
      </c>
      <c r="G134" t="s">
        <v>1036</v>
      </c>
    </row>
    <row r="135" spans="5:7" x14ac:dyDescent="0.25">
      <c r="E135">
        <v>3319</v>
      </c>
      <c r="F135" t="s">
        <v>735</v>
      </c>
      <c r="G135" t="s">
        <v>736</v>
      </c>
    </row>
    <row r="136" spans="5:7" x14ac:dyDescent="0.25">
      <c r="E136">
        <v>3321</v>
      </c>
      <c r="F136" t="s">
        <v>472</v>
      </c>
      <c r="G136" t="s">
        <v>469</v>
      </c>
    </row>
    <row r="137" spans="5:7" x14ac:dyDescent="0.25">
      <c r="E137">
        <v>3596</v>
      </c>
      <c r="F137" t="s">
        <v>508</v>
      </c>
      <c r="G137" t="s">
        <v>509</v>
      </c>
    </row>
    <row r="138" spans="5:7" x14ac:dyDescent="0.25">
      <c r="E138">
        <v>3632</v>
      </c>
      <c r="F138" t="s">
        <v>743</v>
      </c>
      <c r="G138" t="s">
        <v>744</v>
      </c>
    </row>
    <row r="139" spans="5:7" x14ac:dyDescent="0.25">
      <c r="E139">
        <v>3646</v>
      </c>
      <c r="F139" t="s">
        <v>745</v>
      </c>
      <c r="G139" t="s">
        <v>746</v>
      </c>
    </row>
    <row r="140" spans="5:7" x14ac:dyDescent="0.25">
      <c r="E140">
        <v>3648</v>
      </c>
      <c r="F140" t="s">
        <v>974</v>
      </c>
      <c r="G140" t="s">
        <v>975</v>
      </c>
    </row>
    <row r="141" spans="5:7" x14ac:dyDescent="0.25">
      <c r="E141">
        <v>3650</v>
      </c>
      <c r="F141" t="s">
        <v>747</v>
      </c>
      <c r="G141" t="s">
        <v>748</v>
      </c>
    </row>
    <row r="142" spans="5:7" x14ac:dyDescent="0.25">
      <c r="E142">
        <v>3654</v>
      </c>
      <c r="F142" t="s">
        <v>749</v>
      </c>
      <c r="G142" t="s">
        <v>750</v>
      </c>
    </row>
    <row r="143" spans="5:7" x14ac:dyDescent="0.25">
      <c r="E143">
        <v>3655</v>
      </c>
      <c r="F143" t="s">
        <v>751</v>
      </c>
      <c r="G143" t="s">
        <v>752</v>
      </c>
    </row>
    <row r="144" spans="5:7" x14ac:dyDescent="0.25">
      <c r="E144">
        <v>3656</v>
      </c>
      <c r="F144" t="s">
        <v>753</v>
      </c>
      <c r="G144" t="s">
        <v>754</v>
      </c>
    </row>
    <row r="145" spans="5:7" x14ac:dyDescent="0.25">
      <c r="E145">
        <v>3657</v>
      </c>
      <c r="F145" t="s">
        <v>755</v>
      </c>
      <c r="G145" t="s">
        <v>756</v>
      </c>
    </row>
    <row r="146" spans="5:7" x14ac:dyDescent="0.25">
      <c r="E146">
        <v>3658</v>
      </c>
      <c r="F146" t="s">
        <v>757</v>
      </c>
      <c r="G146" t="s">
        <v>758</v>
      </c>
    </row>
    <row r="147" spans="5:7" x14ac:dyDescent="0.25">
      <c r="E147">
        <v>3659</v>
      </c>
      <c r="F147" t="s">
        <v>759</v>
      </c>
      <c r="G147" t="s">
        <v>760</v>
      </c>
    </row>
    <row r="148" spans="5:7" x14ac:dyDescent="0.25">
      <c r="E148">
        <v>3660</v>
      </c>
      <c r="F148" t="s">
        <v>761</v>
      </c>
      <c r="G148" t="s">
        <v>762</v>
      </c>
    </row>
    <row r="149" spans="5:7" x14ac:dyDescent="0.25">
      <c r="E149">
        <v>3661</v>
      </c>
      <c r="F149" t="s">
        <v>763</v>
      </c>
      <c r="G149" t="s">
        <v>764</v>
      </c>
    </row>
    <row r="150" spans="5:7" x14ac:dyDescent="0.25">
      <c r="E150">
        <v>3662</v>
      </c>
      <c r="F150" t="s">
        <v>765</v>
      </c>
      <c r="G150" t="s">
        <v>766</v>
      </c>
    </row>
    <row r="151" spans="5:7" x14ac:dyDescent="0.25">
      <c r="E151">
        <v>3663</v>
      </c>
      <c r="F151" t="s">
        <v>767</v>
      </c>
      <c r="G151" t="s">
        <v>768</v>
      </c>
    </row>
    <row r="152" spans="5:7" x14ac:dyDescent="0.25">
      <c r="E152">
        <v>3664</v>
      </c>
      <c r="F152" t="s">
        <v>769</v>
      </c>
      <c r="G152" t="s">
        <v>770</v>
      </c>
    </row>
    <row r="153" spans="5:7" x14ac:dyDescent="0.25">
      <c r="E153">
        <v>3665</v>
      </c>
      <c r="F153" t="s">
        <v>771</v>
      </c>
      <c r="G153" t="s">
        <v>772</v>
      </c>
    </row>
    <row r="154" spans="5:7" x14ac:dyDescent="0.25">
      <c r="E154">
        <v>3815</v>
      </c>
      <c r="F154" t="s">
        <v>451</v>
      </c>
      <c r="G154" t="s">
        <v>452</v>
      </c>
    </row>
    <row r="155" spans="5:7" x14ac:dyDescent="0.25">
      <c r="E155">
        <v>3923</v>
      </c>
      <c r="F155" t="s">
        <v>1015</v>
      </c>
      <c r="G155" t="s">
        <v>1016</v>
      </c>
    </row>
    <row r="156" spans="5:7" x14ac:dyDescent="0.25">
      <c r="E156">
        <v>3940</v>
      </c>
      <c r="F156" t="s">
        <v>373</v>
      </c>
      <c r="G156" t="s">
        <v>374</v>
      </c>
    </row>
    <row r="157" spans="5:7" x14ac:dyDescent="0.25">
      <c r="E157">
        <v>4206</v>
      </c>
      <c r="F157" t="s">
        <v>775</v>
      </c>
      <c r="G157" t="s">
        <v>776</v>
      </c>
    </row>
    <row r="158" spans="5:7" x14ac:dyDescent="0.25">
      <c r="E158">
        <v>4238</v>
      </c>
      <c r="F158" t="s">
        <v>779</v>
      </c>
      <c r="G158" t="s">
        <v>780</v>
      </c>
    </row>
    <row r="159" spans="5:7" x14ac:dyDescent="0.25">
      <c r="E159">
        <v>4268</v>
      </c>
      <c r="F159" t="s">
        <v>781</v>
      </c>
      <c r="G159" t="s">
        <v>782</v>
      </c>
    </row>
    <row r="160" spans="5:7" x14ac:dyDescent="0.25">
      <c r="E160">
        <v>4294</v>
      </c>
      <c r="F160" t="s">
        <v>783</v>
      </c>
      <c r="G160" t="s">
        <v>784</v>
      </c>
    </row>
    <row r="161" spans="5:7" x14ac:dyDescent="0.25">
      <c r="E161">
        <v>4378</v>
      </c>
      <c r="F161" t="s">
        <v>281</v>
      </c>
      <c r="G161" t="s">
        <v>282</v>
      </c>
    </row>
    <row r="162" spans="5:7" x14ac:dyDescent="0.25">
      <c r="E162">
        <v>4771</v>
      </c>
      <c r="F162" t="s">
        <v>809</v>
      </c>
      <c r="G162" t="s">
        <v>810</v>
      </c>
    </row>
    <row r="163" spans="5:7" x14ac:dyDescent="0.25">
      <c r="E163">
        <v>4773</v>
      </c>
      <c r="F163" t="s">
        <v>811</v>
      </c>
      <c r="G163" t="s">
        <v>812</v>
      </c>
    </row>
    <row r="164" spans="5:7" x14ac:dyDescent="0.25">
      <c r="E164">
        <v>4779</v>
      </c>
      <c r="F164" t="s">
        <v>271</v>
      </c>
      <c r="G164" t="s">
        <v>272</v>
      </c>
    </row>
    <row r="165" spans="5:7" x14ac:dyDescent="0.25">
      <c r="E165">
        <v>5577</v>
      </c>
      <c r="F165" t="s">
        <v>845</v>
      </c>
      <c r="G165" t="s">
        <v>846</v>
      </c>
    </row>
    <row r="166" spans="5:7" x14ac:dyDescent="0.25">
      <c r="E166">
        <v>5578</v>
      </c>
      <c r="F166" t="s">
        <v>847</v>
      </c>
      <c r="G166" t="s">
        <v>848</v>
      </c>
    </row>
    <row r="167" spans="5:7" x14ac:dyDescent="0.25">
      <c r="E167">
        <v>5635</v>
      </c>
      <c r="F167" t="s">
        <v>855</v>
      </c>
      <c r="G167" t="s">
        <v>856</v>
      </c>
    </row>
    <row r="168" spans="5:7" x14ac:dyDescent="0.25">
      <c r="E168">
        <v>7461</v>
      </c>
      <c r="F168" t="s">
        <v>1017</v>
      </c>
      <c r="G168" t="s">
        <v>1018</v>
      </c>
    </row>
    <row r="169" spans="5:7" x14ac:dyDescent="0.25">
      <c r="E169">
        <v>7607</v>
      </c>
      <c r="F169" t="s">
        <v>1029</v>
      </c>
      <c r="G169" t="s">
        <v>1030</v>
      </c>
    </row>
    <row r="170" spans="5:7" x14ac:dyDescent="0.25">
      <c r="E170">
        <v>7618</v>
      </c>
      <c r="F170" t="s">
        <v>453</v>
      </c>
      <c r="G170" t="s">
        <v>454</v>
      </c>
    </row>
    <row r="171" spans="5:7" x14ac:dyDescent="0.25">
      <c r="E171">
        <v>7770</v>
      </c>
      <c r="F171" t="s">
        <v>1002</v>
      </c>
      <c r="G171" t="s">
        <v>1003</v>
      </c>
    </row>
    <row r="172" spans="5:7" x14ac:dyDescent="0.25">
      <c r="E172">
        <v>7771</v>
      </c>
      <c r="F172" t="s">
        <v>1004</v>
      </c>
      <c r="G172" t="s">
        <v>1005</v>
      </c>
    </row>
    <row r="173" spans="5:7" x14ac:dyDescent="0.25">
      <c r="E173">
        <v>8218</v>
      </c>
      <c r="F173" t="s">
        <v>890</v>
      </c>
      <c r="G173" t="s">
        <v>891</v>
      </c>
    </row>
    <row r="174" spans="5:7" x14ac:dyDescent="0.25">
      <c r="E174">
        <v>8221</v>
      </c>
      <c r="F174" t="s">
        <v>892</v>
      </c>
      <c r="G174" t="s">
        <v>893</v>
      </c>
    </row>
    <row r="175" spans="5:7" x14ac:dyDescent="0.25">
      <c r="E175">
        <v>8232</v>
      </c>
      <c r="F175" t="s">
        <v>1027</v>
      </c>
      <c r="G175" t="s">
        <v>1028</v>
      </c>
    </row>
    <row r="176" spans="5:7" x14ac:dyDescent="0.25">
      <c r="E176">
        <v>8233</v>
      </c>
      <c r="F176" t="s">
        <v>516</v>
      </c>
      <c r="G176" t="s">
        <v>517</v>
      </c>
    </row>
    <row r="177" spans="5:7" x14ac:dyDescent="0.25">
      <c r="E177">
        <v>8237</v>
      </c>
      <c r="F177" t="s">
        <v>289</v>
      </c>
      <c r="G177" t="s">
        <v>290</v>
      </c>
    </row>
    <row r="178" spans="5:7" x14ac:dyDescent="0.25">
      <c r="E178">
        <v>8238</v>
      </c>
      <c r="F178" t="s">
        <v>291</v>
      </c>
      <c r="G178" t="s">
        <v>292</v>
      </c>
    </row>
    <row r="179" spans="5:7" x14ac:dyDescent="0.25">
      <c r="E179">
        <v>8245</v>
      </c>
      <c r="F179" t="s">
        <v>293</v>
      </c>
      <c r="G179" t="s">
        <v>294</v>
      </c>
    </row>
    <row r="180" spans="5:7" x14ac:dyDescent="0.25">
      <c r="E180">
        <v>8363</v>
      </c>
      <c r="F180" t="s">
        <v>443</v>
      </c>
      <c r="G180" t="s">
        <v>444</v>
      </c>
    </row>
    <row r="181" spans="5:7" x14ac:dyDescent="0.25">
      <c r="E181">
        <v>8364</v>
      </c>
      <c r="F181" t="s">
        <v>445</v>
      </c>
      <c r="G181" t="s">
        <v>446</v>
      </c>
    </row>
    <row r="182" spans="5:7" x14ac:dyDescent="0.25">
      <c r="E182">
        <v>8368</v>
      </c>
      <c r="F182" t="s">
        <v>976</v>
      </c>
      <c r="G182" t="s">
        <v>977</v>
      </c>
    </row>
    <row r="183" spans="5:7" x14ac:dyDescent="0.25">
      <c r="E183">
        <v>8550</v>
      </c>
      <c r="F183" t="s">
        <v>900</v>
      </c>
      <c r="G183" t="s">
        <v>901</v>
      </c>
    </row>
    <row r="184" spans="5:7" x14ac:dyDescent="0.25">
      <c r="E184">
        <v>8639</v>
      </c>
      <c r="F184" t="s">
        <v>475</v>
      </c>
      <c r="G184" t="s">
        <v>470</v>
      </c>
    </row>
    <row r="185" spans="5:7" x14ac:dyDescent="0.25">
      <c r="E185">
        <v>8700</v>
      </c>
      <c r="F185" t="s">
        <v>978</v>
      </c>
      <c r="G185" t="s">
        <v>979</v>
      </c>
    </row>
    <row r="186" spans="5:7" x14ac:dyDescent="0.25">
      <c r="E186">
        <v>9009</v>
      </c>
      <c r="F186" t="s">
        <v>994</v>
      </c>
      <c r="G186" t="s">
        <v>995</v>
      </c>
    </row>
    <row r="187" spans="5:7" x14ac:dyDescent="0.25">
      <c r="E187">
        <v>9030</v>
      </c>
      <c r="F187" t="s">
        <v>494</v>
      </c>
      <c r="G187" t="s">
        <v>495</v>
      </c>
    </row>
    <row r="188" spans="5:7" x14ac:dyDescent="0.25">
      <c r="E188">
        <v>9099</v>
      </c>
      <c r="F188" t="s">
        <v>363</v>
      </c>
      <c r="G188" t="s">
        <v>364</v>
      </c>
    </row>
    <row r="189" spans="5:7" x14ac:dyDescent="0.25">
      <c r="E189">
        <v>9372</v>
      </c>
      <c r="F189" t="s">
        <v>510</v>
      </c>
      <c r="G189" t="s">
        <v>511</v>
      </c>
    </row>
    <row r="190" spans="5:7" x14ac:dyDescent="0.25">
      <c r="E190">
        <v>9380</v>
      </c>
      <c r="F190" t="s">
        <v>980</v>
      </c>
      <c r="G190" t="s">
        <v>981</v>
      </c>
    </row>
    <row r="191" spans="5:7" x14ac:dyDescent="0.25">
      <c r="E191">
        <v>9381</v>
      </c>
      <c r="F191" t="s">
        <v>902</v>
      </c>
      <c r="G191" t="s">
        <v>903</v>
      </c>
    </row>
    <row r="192" spans="5:7" x14ac:dyDescent="0.25">
      <c r="E192">
        <v>9597</v>
      </c>
      <c r="F192" t="s">
        <v>982</v>
      </c>
      <c r="G192" t="s">
        <v>983</v>
      </c>
    </row>
    <row r="193" spans="5:7" x14ac:dyDescent="0.25">
      <c r="E193">
        <v>10244</v>
      </c>
      <c r="F193" t="s">
        <v>984</v>
      </c>
      <c r="G193" t="s">
        <v>985</v>
      </c>
    </row>
    <row r="194" spans="5:7" x14ac:dyDescent="0.25">
      <c r="E194">
        <v>10517</v>
      </c>
      <c r="F194" t="s">
        <v>1008</v>
      </c>
      <c r="G194" t="s">
        <v>1009</v>
      </c>
    </row>
    <row r="195" spans="5:7" x14ac:dyDescent="0.25">
      <c r="E195">
        <v>10648</v>
      </c>
      <c r="F195" t="s">
        <v>986</v>
      </c>
      <c r="G195" t="s">
        <v>987</v>
      </c>
    </row>
    <row r="196" spans="5:7" x14ac:dyDescent="0.25">
      <c r="E196">
        <v>10813</v>
      </c>
      <c r="F196" t="s">
        <v>916</v>
      </c>
      <c r="G196" t="s">
        <v>917</v>
      </c>
    </row>
    <row r="197" spans="5:7" x14ac:dyDescent="0.25">
      <c r="E197">
        <v>11029</v>
      </c>
      <c r="F197" t="s">
        <v>926</v>
      </c>
      <c r="G197" t="s">
        <v>927</v>
      </c>
    </row>
    <row r="198" spans="5:7" x14ac:dyDescent="0.25">
      <c r="E198">
        <v>11143</v>
      </c>
      <c r="F198" t="s">
        <v>996</v>
      </c>
      <c r="G198" t="s">
        <v>997</v>
      </c>
    </row>
    <row r="199" spans="5:7" x14ac:dyDescent="0.25">
      <c r="E199">
        <v>11765</v>
      </c>
      <c r="F199" t="s">
        <v>928</v>
      </c>
      <c r="G199" t="s">
        <v>929</v>
      </c>
    </row>
    <row r="200" spans="5:7" x14ac:dyDescent="0.25">
      <c r="E200">
        <v>11893</v>
      </c>
      <c r="F200" t="s">
        <v>447</v>
      </c>
      <c r="G200" t="s">
        <v>448</v>
      </c>
    </row>
    <row r="201" spans="5:7" x14ac:dyDescent="0.25">
      <c r="E201">
        <v>12240</v>
      </c>
      <c r="F201" t="s">
        <v>992</v>
      </c>
      <c r="G201" t="s">
        <v>993</v>
      </c>
    </row>
    <row r="202" spans="5:7" x14ac:dyDescent="0.25">
      <c r="E202">
        <v>12429</v>
      </c>
      <c r="F202" t="s">
        <v>1006</v>
      </c>
      <c r="G202" t="s">
        <v>1007</v>
      </c>
    </row>
    <row r="203" spans="5:7" x14ac:dyDescent="0.25">
      <c r="E203">
        <v>12433</v>
      </c>
      <c r="F203" t="s">
        <v>998</v>
      </c>
      <c r="G203" t="s">
        <v>999</v>
      </c>
    </row>
    <row r="204" spans="5:7" x14ac:dyDescent="0.25">
      <c r="E204">
        <v>12449</v>
      </c>
      <c r="F204" t="s">
        <v>1000</v>
      </c>
      <c r="G204" t="s">
        <v>1001</v>
      </c>
    </row>
    <row r="205" spans="5:7" x14ac:dyDescent="0.25">
      <c r="E205">
        <v>12852</v>
      </c>
      <c r="F205" t="s">
        <v>938</v>
      </c>
      <c r="G205" t="s">
        <v>939</v>
      </c>
    </row>
  </sheetData>
  <pageMargins left="0.7" right="0.7" top="0.75" bottom="0.75" header="0.3" footer="0.3"/>
  <pageSetup orientation="portrait" r:id="rId1"/>
  <tableParts count="3">
    <tablePart r:id="rId2"/>
    <tablePart r:id="rId3"/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EC510-5D53-45A3-8D22-873F751BA07E}">
  <dimension ref="A1:K149"/>
  <sheetViews>
    <sheetView workbookViewId="0">
      <selection activeCell="D4" sqref="D4"/>
    </sheetView>
  </sheetViews>
  <sheetFormatPr defaultRowHeight="15" x14ac:dyDescent="0.25"/>
  <cols>
    <col min="3" max="3" width="34.85546875" bestFit="1" customWidth="1"/>
    <col min="5" max="5" width="6" bestFit="1" customWidth="1"/>
    <col min="6" max="6" width="78.7109375" bestFit="1" customWidth="1"/>
    <col min="7" max="7" width="81.140625" bestFit="1" customWidth="1"/>
  </cols>
  <sheetData>
    <row r="1" spans="1:11" x14ac:dyDescent="0.25">
      <c r="A1" t="s">
        <v>226</v>
      </c>
      <c r="B1" t="s">
        <v>227</v>
      </c>
      <c r="C1" t="s">
        <v>228</v>
      </c>
      <c r="E1" t="s">
        <v>226</v>
      </c>
      <c r="F1" t="s">
        <v>237</v>
      </c>
      <c r="G1" t="s">
        <v>238</v>
      </c>
      <c r="I1" t="s">
        <v>228</v>
      </c>
      <c r="J1" t="s">
        <v>1063</v>
      </c>
      <c r="K1" t="s">
        <v>1064</v>
      </c>
    </row>
    <row r="2" spans="1:11" x14ac:dyDescent="0.25">
      <c r="A2" s="7">
        <v>2</v>
      </c>
      <c r="B2" s="7" t="s">
        <v>1</v>
      </c>
      <c r="C2" s="7" t="s">
        <v>219</v>
      </c>
      <c r="E2">
        <v>130</v>
      </c>
      <c r="F2" t="s">
        <v>545</v>
      </c>
      <c r="G2" t="s">
        <v>546</v>
      </c>
      <c r="I2" s="9" t="s">
        <v>221</v>
      </c>
      <c r="J2" s="6">
        <f>COUNTIF(Minesweeper_ec[Module],I2)</f>
        <v>8</v>
      </c>
      <c r="K2" s="19">
        <f t="shared" ref="K2:K9" si="0">J2/$J$9</f>
        <v>0.14545454545454545</v>
      </c>
    </row>
    <row r="3" spans="1:11" x14ac:dyDescent="0.25">
      <c r="A3" s="7">
        <v>6</v>
      </c>
      <c r="B3" s="7" t="s">
        <v>6</v>
      </c>
      <c r="C3" s="7" t="s">
        <v>219</v>
      </c>
      <c r="E3">
        <v>158</v>
      </c>
      <c r="F3" t="s">
        <v>315</v>
      </c>
      <c r="G3" t="s">
        <v>316</v>
      </c>
      <c r="I3" s="9" t="s">
        <v>223</v>
      </c>
      <c r="J3" s="6">
        <f>COUNTIF(Minesweeper_ec[Module],I3)</f>
        <v>4</v>
      </c>
      <c r="K3" s="19">
        <f t="shared" si="0"/>
        <v>7.2727272727272724E-2</v>
      </c>
    </row>
    <row r="4" spans="1:11" x14ac:dyDescent="0.25">
      <c r="A4" s="7">
        <v>10</v>
      </c>
      <c r="B4" s="7" t="s">
        <v>90</v>
      </c>
      <c r="C4" s="7" t="s">
        <v>219</v>
      </c>
      <c r="E4">
        <v>161</v>
      </c>
      <c r="F4" t="s">
        <v>343</v>
      </c>
      <c r="G4" t="s">
        <v>344</v>
      </c>
      <c r="I4" s="9" t="s">
        <v>225</v>
      </c>
      <c r="J4" s="6">
        <f>COUNTIF(Minesweeper_ec[Module],I4)</f>
        <v>11</v>
      </c>
      <c r="K4" s="19">
        <f t="shared" si="0"/>
        <v>0.2</v>
      </c>
    </row>
    <row r="5" spans="1:11" x14ac:dyDescent="0.25">
      <c r="A5" s="7">
        <v>11</v>
      </c>
      <c r="B5" s="7" t="s">
        <v>89</v>
      </c>
      <c r="C5" s="7" t="s">
        <v>219</v>
      </c>
      <c r="E5">
        <v>177</v>
      </c>
      <c r="F5" t="s">
        <v>501</v>
      </c>
      <c r="G5" t="s">
        <v>502</v>
      </c>
      <c r="I5" s="9" t="s">
        <v>222</v>
      </c>
      <c r="J5" s="6">
        <f>COUNTIF(Minesweeper_ec[Module],I5)</f>
        <v>4</v>
      </c>
      <c r="K5" s="19">
        <f t="shared" si="0"/>
        <v>7.2727272727272724E-2</v>
      </c>
    </row>
    <row r="6" spans="1:11" x14ac:dyDescent="0.25">
      <c r="A6" s="7">
        <v>14</v>
      </c>
      <c r="B6" s="7" t="s">
        <v>105</v>
      </c>
      <c r="C6" s="7" t="s">
        <v>219</v>
      </c>
      <c r="E6">
        <v>189</v>
      </c>
      <c r="F6" t="s">
        <v>387</v>
      </c>
      <c r="G6" t="s">
        <v>388</v>
      </c>
      <c r="I6" s="9" t="s">
        <v>224</v>
      </c>
      <c r="J6" s="6">
        <f>COUNTIF(Minesweeper_ec[Module],I6)</f>
        <v>8</v>
      </c>
      <c r="K6" s="19">
        <f t="shared" si="0"/>
        <v>0.14545454545454545</v>
      </c>
    </row>
    <row r="7" spans="1:11" x14ac:dyDescent="0.25">
      <c r="A7" s="7">
        <v>27</v>
      </c>
      <c r="B7" s="7" t="s">
        <v>136</v>
      </c>
      <c r="C7" s="7" t="s">
        <v>219</v>
      </c>
      <c r="E7">
        <v>190</v>
      </c>
      <c r="F7" t="s">
        <v>279</v>
      </c>
      <c r="G7" t="s">
        <v>280</v>
      </c>
      <c r="I7" s="9" t="s">
        <v>219</v>
      </c>
      <c r="J7" s="6">
        <v>2</v>
      </c>
      <c r="K7" s="19">
        <f t="shared" si="0"/>
        <v>3.6363636363636362E-2</v>
      </c>
    </row>
    <row r="8" spans="1:11" x14ac:dyDescent="0.25">
      <c r="A8" s="7">
        <v>31</v>
      </c>
      <c r="B8" s="7" t="s">
        <v>35</v>
      </c>
      <c r="C8" s="7" t="s">
        <v>219</v>
      </c>
      <c r="E8">
        <v>200</v>
      </c>
      <c r="F8" t="s">
        <v>425</v>
      </c>
      <c r="G8" t="s">
        <v>426</v>
      </c>
      <c r="I8" s="9" t="s">
        <v>235</v>
      </c>
      <c r="J8" s="6">
        <f>COUNTBLANK(Minesweeper_ec[Module])</f>
        <v>18</v>
      </c>
      <c r="K8" s="19">
        <f t="shared" si="0"/>
        <v>0.32727272727272727</v>
      </c>
    </row>
    <row r="9" spans="1:11" x14ac:dyDescent="0.25">
      <c r="A9" s="7">
        <v>32</v>
      </c>
      <c r="B9" s="7" t="s">
        <v>14</v>
      </c>
      <c r="C9" s="7" t="s">
        <v>219</v>
      </c>
      <c r="E9">
        <v>230</v>
      </c>
      <c r="F9" t="s">
        <v>395</v>
      </c>
      <c r="G9" t="s">
        <v>396</v>
      </c>
      <c r="I9" t="s">
        <v>1065</v>
      </c>
      <c r="J9" s="6">
        <f>SUM(J2:J8)</f>
        <v>55</v>
      </c>
      <c r="K9" s="19">
        <f t="shared" si="0"/>
        <v>1</v>
      </c>
    </row>
    <row r="10" spans="1:11" x14ac:dyDescent="0.25">
      <c r="A10" s="7">
        <v>39</v>
      </c>
      <c r="B10" s="7" t="s">
        <v>45</v>
      </c>
      <c r="C10" s="7" t="s">
        <v>219</v>
      </c>
      <c r="E10">
        <v>289</v>
      </c>
      <c r="F10" t="s">
        <v>523</v>
      </c>
      <c r="G10" t="s">
        <v>524</v>
      </c>
    </row>
    <row r="11" spans="1:11" x14ac:dyDescent="0.25">
      <c r="A11" s="7">
        <v>47</v>
      </c>
      <c r="B11" s="7" t="s">
        <v>85</v>
      </c>
      <c r="C11" s="7" t="s">
        <v>219</v>
      </c>
      <c r="E11">
        <v>291</v>
      </c>
      <c r="F11" t="s">
        <v>498</v>
      </c>
      <c r="G11" t="s">
        <v>499</v>
      </c>
    </row>
    <row r="12" spans="1:11" x14ac:dyDescent="0.25">
      <c r="A12" s="7">
        <v>48</v>
      </c>
      <c r="B12" s="7" t="s">
        <v>16</v>
      </c>
      <c r="C12" s="7" t="s">
        <v>219</v>
      </c>
      <c r="E12">
        <v>332</v>
      </c>
      <c r="F12" t="s">
        <v>365</v>
      </c>
      <c r="G12" t="s">
        <v>366</v>
      </c>
    </row>
    <row r="13" spans="1:11" x14ac:dyDescent="0.25">
      <c r="A13" s="7">
        <v>52</v>
      </c>
      <c r="B13" s="7" t="s">
        <v>104</v>
      </c>
      <c r="C13" s="7" t="s">
        <v>219</v>
      </c>
      <c r="E13">
        <v>335</v>
      </c>
      <c r="F13" t="s">
        <v>559</v>
      </c>
      <c r="G13" t="s">
        <v>560</v>
      </c>
    </row>
    <row r="14" spans="1:11" x14ac:dyDescent="0.25">
      <c r="A14" s="7">
        <v>53</v>
      </c>
      <c r="B14" s="7" t="s">
        <v>43</v>
      </c>
      <c r="C14" s="7" t="s">
        <v>219</v>
      </c>
      <c r="E14">
        <v>375</v>
      </c>
      <c r="F14" t="s">
        <v>561</v>
      </c>
      <c r="G14" t="s">
        <v>562</v>
      </c>
    </row>
    <row r="15" spans="1:11" x14ac:dyDescent="0.25">
      <c r="A15" s="7">
        <v>55</v>
      </c>
      <c r="B15" s="7" t="s">
        <v>66</v>
      </c>
      <c r="C15" s="7" t="s">
        <v>219</v>
      </c>
      <c r="E15">
        <v>376</v>
      </c>
      <c r="F15" t="s">
        <v>563</v>
      </c>
      <c r="G15" t="s">
        <v>562</v>
      </c>
    </row>
    <row r="16" spans="1:11" x14ac:dyDescent="0.25">
      <c r="A16" s="7">
        <v>57</v>
      </c>
      <c r="B16" s="7" t="s">
        <v>88</v>
      </c>
      <c r="C16" s="7" t="s">
        <v>219</v>
      </c>
      <c r="E16">
        <v>377</v>
      </c>
      <c r="F16" t="s">
        <v>564</v>
      </c>
      <c r="G16" t="s">
        <v>562</v>
      </c>
    </row>
    <row r="17" spans="1:7" x14ac:dyDescent="0.25">
      <c r="A17" s="7">
        <v>62</v>
      </c>
      <c r="B17" s="7" t="s">
        <v>93</v>
      </c>
      <c r="C17" s="7" t="s">
        <v>219</v>
      </c>
      <c r="E17">
        <v>378</v>
      </c>
      <c r="F17" t="s">
        <v>565</v>
      </c>
      <c r="G17" t="s">
        <v>562</v>
      </c>
    </row>
    <row r="18" spans="1:7" x14ac:dyDescent="0.25">
      <c r="A18" s="7">
        <v>63</v>
      </c>
      <c r="B18" s="7" t="s">
        <v>50</v>
      </c>
      <c r="C18" s="7" t="s">
        <v>219</v>
      </c>
      <c r="E18">
        <v>379</v>
      </c>
      <c r="F18" t="s">
        <v>566</v>
      </c>
      <c r="G18" t="s">
        <v>567</v>
      </c>
    </row>
    <row r="19" spans="1:7" x14ac:dyDescent="0.25">
      <c r="A19" s="7">
        <v>70</v>
      </c>
      <c r="B19" s="7" t="s">
        <v>97</v>
      </c>
      <c r="C19" s="7" t="s">
        <v>219</v>
      </c>
      <c r="E19">
        <v>382</v>
      </c>
      <c r="F19" t="s">
        <v>568</v>
      </c>
      <c r="G19" t="s">
        <v>569</v>
      </c>
    </row>
    <row r="20" spans="1:7" x14ac:dyDescent="0.25">
      <c r="A20" s="7">
        <v>71</v>
      </c>
      <c r="B20" s="7" t="s">
        <v>22</v>
      </c>
      <c r="C20" s="7" t="s">
        <v>219</v>
      </c>
      <c r="E20">
        <v>418</v>
      </c>
      <c r="F20" t="s">
        <v>958</v>
      </c>
      <c r="G20" t="s">
        <v>959</v>
      </c>
    </row>
    <row r="21" spans="1:7" x14ac:dyDescent="0.25">
      <c r="A21" s="7">
        <v>87</v>
      </c>
      <c r="B21" s="7" t="s">
        <v>102</v>
      </c>
      <c r="C21" s="7" t="s">
        <v>219</v>
      </c>
      <c r="E21">
        <v>430</v>
      </c>
      <c r="F21" t="s">
        <v>427</v>
      </c>
      <c r="G21" t="s">
        <v>428</v>
      </c>
    </row>
    <row r="22" spans="1:7" x14ac:dyDescent="0.25">
      <c r="A22" s="7">
        <v>16</v>
      </c>
      <c r="B22" s="7" t="s">
        <v>133</v>
      </c>
      <c r="C22" s="7" t="s">
        <v>221</v>
      </c>
      <c r="E22">
        <v>435</v>
      </c>
      <c r="F22" t="s">
        <v>576</v>
      </c>
      <c r="G22" t="s">
        <v>577</v>
      </c>
    </row>
    <row r="23" spans="1:7" x14ac:dyDescent="0.25">
      <c r="A23" s="7">
        <v>29</v>
      </c>
      <c r="B23" s="7" t="s">
        <v>137</v>
      </c>
      <c r="C23" s="7" t="s">
        <v>221</v>
      </c>
      <c r="E23">
        <v>441</v>
      </c>
      <c r="F23" t="s">
        <v>578</v>
      </c>
      <c r="G23" t="s">
        <v>577</v>
      </c>
    </row>
    <row r="24" spans="1:7" x14ac:dyDescent="0.25">
      <c r="A24" s="7">
        <v>33</v>
      </c>
      <c r="B24" s="7" t="s">
        <v>138</v>
      </c>
      <c r="C24" s="7" t="s">
        <v>221</v>
      </c>
      <c r="E24">
        <v>442</v>
      </c>
      <c r="F24" t="s">
        <v>579</v>
      </c>
      <c r="G24" t="s">
        <v>577</v>
      </c>
    </row>
    <row r="25" spans="1:7" x14ac:dyDescent="0.25">
      <c r="A25" s="7">
        <v>41</v>
      </c>
      <c r="B25" s="7" t="s">
        <v>99</v>
      </c>
      <c r="C25" s="7" t="s">
        <v>221</v>
      </c>
      <c r="E25">
        <v>443</v>
      </c>
      <c r="F25" t="s">
        <v>580</v>
      </c>
      <c r="G25" t="s">
        <v>577</v>
      </c>
    </row>
    <row r="26" spans="1:7" x14ac:dyDescent="0.25">
      <c r="A26" s="7">
        <v>75</v>
      </c>
      <c r="B26" s="7" t="s">
        <v>122</v>
      </c>
      <c r="C26" s="7" t="s">
        <v>221</v>
      </c>
      <c r="E26">
        <v>444</v>
      </c>
      <c r="F26" t="s">
        <v>581</v>
      </c>
      <c r="G26" t="s">
        <v>577</v>
      </c>
    </row>
    <row r="27" spans="1:7" x14ac:dyDescent="0.25">
      <c r="A27" s="7">
        <v>82</v>
      </c>
      <c r="B27" s="7" t="s">
        <v>29</v>
      </c>
      <c r="C27" s="7" t="s">
        <v>221</v>
      </c>
      <c r="E27">
        <v>505</v>
      </c>
      <c r="F27" t="s">
        <v>499</v>
      </c>
      <c r="G27" t="s">
        <v>500</v>
      </c>
    </row>
    <row r="28" spans="1:7" x14ac:dyDescent="0.25">
      <c r="A28" s="7">
        <v>86</v>
      </c>
      <c r="B28" s="7" t="s">
        <v>165</v>
      </c>
      <c r="C28" s="7" t="s">
        <v>221</v>
      </c>
      <c r="E28">
        <v>512</v>
      </c>
      <c r="F28" t="s">
        <v>311</v>
      </c>
      <c r="G28" t="s">
        <v>312</v>
      </c>
    </row>
    <row r="29" spans="1:7" x14ac:dyDescent="0.25">
      <c r="A29" s="7">
        <v>92</v>
      </c>
      <c r="B29" s="7" t="s">
        <v>166</v>
      </c>
      <c r="C29" s="7" t="s">
        <v>221</v>
      </c>
      <c r="E29">
        <v>513</v>
      </c>
      <c r="F29" t="s">
        <v>1019</v>
      </c>
      <c r="G29" t="s">
        <v>1020</v>
      </c>
    </row>
    <row r="30" spans="1:7" x14ac:dyDescent="0.25">
      <c r="A30" s="7">
        <v>8</v>
      </c>
      <c r="B30" s="7" t="s">
        <v>114</v>
      </c>
      <c r="C30" s="7" t="s">
        <v>222</v>
      </c>
      <c r="E30">
        <v>517</v>
      </c>
      <c r="F30" t="s">
        <v>1023</v>
      </c>
      <c r="G30" t="s">
        <v>1024</v>
      </c>
    </row>
    <row r="31" spans="1:7" x14ac:dyDescent="0.25">
      <c r="A31" s="7">
        <v>59</v>
      </c>
      <c r="B31" s="7" t="s">
        <v>19</v>
      </c>
      <c r="C31" s="7" t="s">
        <v>222</v>
      </c>
      <c r="E31">
        <v>549</v>
      </c>
      <c r="F31" t="s">
        <v>433</v>
      </c>
      <c r="G31" t="s">
        <v>434</v>
      </c>
    </row>
    <row r="32" spans="1:7" x14ac:dyDescent="0.25">
      <c r="A32" s="7">
        <v>77</v>
      </c>
      <c r="B32" s="7" t="s">
        <v>30</v>
      </c>
      <c r="C32" s="7" t="s">
        <v>222</v>
      </c>
      <c r="E32">
        <v>572</v>
      </c>
      <c r="F32" t="s">
        <v>584</v>
      </c>
      <c r="G32" t="s">
        <v>585</v>
      </c>
    </row>
    <row r="33" spans="1:7" x14ac:dyDescent="0.25">
      <c r="A33" s="7">
        <v>81</v>
      </c>
      <c r="B33" s="7" t="s">
        <v>63</v>
      </c>
      <c r="C33" s="7" t="s">
        <v>222</v>
      </c>
      <c r="E33">
        <v>597</v>
      </c>
      <c r="F33" t="s">
        <v>960</v>
      </c>
      <c r="G33" t="s">
        <v>961</v>
      </c>
    </row>
    <row r="34" spans="1:7" x14ac:dyDescent="0.25">
      <c r="A34" s="7">
        <v>12</v>
      </c>
      <c r="B34" s="7" t="s">
        <v>130</v>
      </c>
      <c r="C34" s="7" t="s">
        <v>223</v>
      </c>
      <c r="E34">
        <v>600</v>
      </c>
      <c r="F34" t="s">
        <v>960</v>
      </c>
      <c r="G34" t="s">
        <v>1014</v>
      </c>
    </row>
    <row r="35" spans="1:7" x14ac:dyDescent="0.25">
      <c r="A35" s="7">
        <v>28</v>
      </c>
      <c r="B35" s="7" t="s">
        <v>67</v>
      </c>
      <c r="C35" s="7" t="s">
        <v>223</v>
      </c>
      <c r="E35">
        <v>621</v>
      </c>
      <c r="F35" t="s">
        <v>1033</v>
      </c>
      <c r="G35" t="s">
        <v>1034</v>
      </c>
    </row>
    <row r="36" spans="1:7" x14ac:dyDescent="0.25">
      <c r="A36" s="7">
        <v>46</v>
      </c>
      <c r="B36" s="7" t="s">
        <v>144</v>
      </c>
      <c r="C36" s="7" t="s">
        <v>223</v>
      </c>
      <c r="E36">
        <v>658</v>
      </c>
      <c r="F36" t="s">
        <v>476</v>
      </c>
      <c r="G36" t="s">
        <v>478</v>
      </c>
    </row>
    <row r="37" spans="1:7" x14ac:dyDescent="0.25">
      <c r="A37" s="7">
        <v>68</v>
      </c>
      <c r="B37" s="7" t="s">
        <v>156</v>
      </c>
      <c r="C37" s="7" t="s">
        <v>223</v>
      </c>
      <c r="E37">
        <v>659</v>
      </c>
      <c r="F37" t="s">
        <v>588</v>
      </c>
      <c r="G37" t="s">
        <v>589</v>
      </c>
    </row>
    <row r="38" spans="1:7" x14ac:dyDescent="0.25">
      <c r="A38" s="7">
        <v>35</v>
      </c>
      <c r="B38" s="7" t="s">
        <v>139</v>
      </c>
      <c r="C38" s="7" t="s">
        <v>224</v>
      </c>
      <c r="E38">
        <v>724</v>
      </c>
      <c r="F38" t="s">
        <v>592</v>
      </c>
      <c r="G38" t="s">
        <v>593</v>
      </c>
    </row>
    <row r="39" spans="1:7" x14ac:dyDescent="0.25">
      <c r="A39" s="7">
        <v>36</v>
      </c>
      <c r="B39" s="7" t="s">
        <v>140</v>
      </c>
      <c r="C39" s="7" t="s">
        <v>224</v>
      </c>
      <c r="E39">
        <v>847</v>
      </c>
      <c r="F39" t="s">
        <v>357</v>
      </c>
      <c r="G39" t="s">
        <v>358</v>
      </c>
    </row>
    <row r="40" spans="1:7" x14ac:dyDescent="0.25">
      <c r="A40" s="7">
        <v>51</v>
      </c>
      <c r="B40" s="7" t="s">
        <v>98</v>
      </c>
      <c r="C40" s="7" t="s">
        <v>224</v>
      </c>
      <c r="E40">
        <v>851</v>
      </c>
      <c r="F40" t="s">
        <v>359</v>
      </c>
      <c r="G40" t="s">
        <v>360</v>
      </c>
    </row>
    <row r="41" spans="1:7" x14ac:dyDescent="0.25">
      <c r="A41" s="7">
        <v>60</v>
      </c>
      <c r="B41" s="7" t="s">
        <v>152</v>
      </c>
      <c r="C41" s="7" t="s">
        <v>224</v>
      </c>
      <c r="E41">
        <v>900</v>
      </c>
      <c r="F41" t="s">
        <v>612</v>
      </c>
      <c r="G41" t="s">
        <v>613</v>
      </c>
    </row>
    <row r="42" spans="1:7" x14ac:dyDescent="0.25">
      <c r="A42" s="7">
        <v>67</v>
      </c>
      <c r="B42" s="7" t="s">
        <v>57</v>
      </c>
      <c r="C42" s="7" t="s">
        <v>224</v>
      </c>
      <c r="E42">
        <v>921</v>
      </c>
      <c r="F42" t="s">
        <v>397</v>
      </c>
      <c r="G42" t="s">
        <v>398</v>
      </c>
    </row>
    <row r="43" spans="1:7" x14ac:dyDescent="0.25">
      <c r="A43" s="7">
        <v>69</v>
      </c>
      <c r="B43" s="7" t="s">
        <v>157</v>
      </c>
      <c r="C43" s="7" t="s">
        <v>224</v>
      </c>
      <c r="E43">
        <v>964</v>
      </c>
      <c r="F43" t="s">
        <v>1021</v>
      </c>
      <c r="G43" t="s">
        <v>1022</v>
      </c>
    </row>
    <row r="44" spans="1:7" x14ac:dyDescent="0.25">
      <c r="A44" s="7">
        <v>74</v>
      </c>
      <c r="B44" s="7" t="s">
        <v>108</v>
      </c>
      <c r="C44" s="7" t="s">
        <v>224</v>
      </c>
      <c r="E44">
        <v>966</v>
      </c>
      <c r="F44" t="s">
        <v>521</v>
      </c>
      <c r="G44" t="s">
        <v>522</v>
      </c>
    </row>
    <row r="45" spans="1:7" x14ac:dyDescent="0.25">
      <c r="A45" s="7">
        <v>89</v>
      </c>
      <c r="B45" s="7" t="s">
        <v>15</v>
      </c>
      <c r="C45" s="7" t="s">
        <v>224</v>
      </c>
      <c r="E45">
        <v>968</v>
      </c>
      <c r="F45" t="s">
        <v>1025</v>
      </c>
      <c r="G45" t="s">
        <v>1026</v>
      </c>
    </row>
    <row r="46" spans="1:7" x14ac:dyDescent="0.25">
      <c r="A46" s="7">
        <v>3</v>
      </c>
      <c r="B46" s="7" t="s">
        <v>5</v>
      </c>
      <c r="C46" s="7" t="s">
        <v>225</v>
      </c>
      <c r="E46">
        <v>1015</v>
      </c>
      <c r="F46" t="s">
        <v>473</v>
      </c>
      <c r="G46" t="s">
        <v>474</v>
      </c>
    </row>
    <row r="47" spans="1:7" x14ac:dyDescent="0.25">
      <c r="A47" s="7">
        <v>9</v>
      </c>
      <c r="B47" s="7" t="s">
        <v>128</v>
      </c>
      <c r="C47" s="7" t="s">
        <v>225</v>
      </c>
      <c r="E47">
        <v>1056</v>
      </c>
      <c r="F47" t="s">
        <v>484</v>
      </c>
      <c r="G47" t="s">
        <v>481</v>
      </c>
    </row>
    <row r="48" spans="1:7" x14ac:dyDescent="0.25">
      <c r="A48" s="7">
        <v>15</v>
      </c>
      <c r="B48" s="7" t="s">
        <v>132</v>
      </c>
      <c r="C48" s="7" t="s">
        <v>225</v>
      </c>
      <c r="E48">
        <v>1066</v>
      </c>
      <c r="F48" t="s">
        <v>486</v>
      </c>
      <c r="G48" t="s">
        <v>496</v>
      </c>
    </row>
    <row r="49" spans="1:7" x14ac:dyDescent="0.25">
      <c r="A49" s="7">
        <v>17</v>
      </c>
      <c r="B49" s="7" t="s">
        <v>86</v>
      </c>
      <c r="C49" s="7" t="s">
        <v>225</v>
      </c>
      <c r="E49">
        <v>1068</v>
      </c>
      <c r="F49" t="s">
        <v>461</v>
      </c>
      <c r="G49" t="s">
        <v>462</v>
      </c>
    </row>
    <row r="50" spans="1:7" x14ac:dyDescent="0.25">
      <c r="A50" s="7">
        <v>26</v>
      </c>
      <c r="B50" s="7" t="s">
        <v>56</v>
      </c>
      <c r="C50" s="7" t="s">
        <v>225</v>
      </c>
      <c r="E50">
        <v>1070</v>
      </c>
      <c r="F50" t="s">
        <v>463</v>
      </c>
      <c r="G50" t="s">
        <v>462</v>
      </c>
    </row>
    <row r="51" spans="1:7" x14ac:dyDescent="0.25">
      <c r="A51" s="7">
        <v>43</v>
      </c>
      <c r="B51" s="7" t="s">
        <v>24</v>
      </c>
      <c r="C51" s="7" t="s">
        <v>225</v>
      </c>
      <c r="E51">
        <v>1132</v>
      </c>
      <c r="F51" t="s">
        <v>283</v>
      </c>
      <c r="G51" t="s">
        <v>284</v>
      </c>
    </row>
    <row r="52" spans="1:7" x14ac:dyDescent="0.25">
      <c r="A52" s="7">
        <v>54</v>
      </c>
      <c r="B52" s="7" t="s">
        <v>149</v>
      </c>
      <c r="C52" s="7" t="s">
        <v>225</v>
      </c>
      <c r="E52">
        <v>1138</v>
      </c>
      <c r="F52" t="s">
        <v>429</v>
      </c>
      <c r="G52" t="s">
        <v>430</v>
      </c>
    </row>
    <row r="53" spans="1:7" x14ac:dyDescent="0.25">
      <c r="A53" s="7">
        <v>61</v>
      </c>
      <c r="B53" s="7" t="s">
        <v>153</v>
      </c>
      <c r="C53" s="7" t="s">
        <v>225</v>
      </c>
      <c r="E53">
        <v>1229</v>
      </c>
      <c r="F53" t="s">
        <v>285</v>
      </c>
      <c r="G53" t="s">
        <v>286</v>
      </c>
    </row>
    <row r="54" spans="1:7" x14ac:dyDescent="0.25">
      <c r="A54" s="7">
        <v>73</v>
      </c>
      <c r="B54" s="7" t="s">
        <v>158</v>
      </c>
      <c r="C54" s="7" t="s">
        <v>225</v>
      </c>
      <c r="E54">
        <v>1518</v>
      </c>
      <c r="F54" t="s">
        <v>476</v>
      </c>
      <c r="G54" t="s">
        <v>477</v>
      </c>
    </row>
    <row r="55" spans="1:7" x14ac:dyDescent="0.25">
      <c r="A55" s="7">
        <v>83</v>
      </c>
      <c r="B55" s="7" t="s">
        <v>162</v>
      </c>
      <c r="C55" s="7" t="s">
        <v>225</v>
      </c>
      <c r="E55">
        <v>1561</v>
      </c>
      <c r="F55" t="s">
        <v>246</v>
      </c>
      <c r="G55" t="s">
        <v>415</v>
      </c>
    </row>
    <row r="56" spans="1:7" x14ac:dyDescent="0.25">
      <c r="A56" s="7">
        <v>88</v>
      </c>
      <c r="B56" s="7" t="s">
        <v>10</v>
      </c>
      <c r="C56" s="7" t="s">
        <v>225</v>
      </c>
      <c r="E56">
        <v>1665</v>
      </c>
      <c r="F56" t="s">
        <v>313</v>
      </c>
      <c r="G56" t="s">
        <v>314</v>
      </c>
    </row>
    <row r="57" spans="1:7" x14ac:dyDescent="0.25">
      <c r="A57" s="7">
        <v>0</v>
      </c>
      <c r="B57" s="7" t="s">
        <v>0</v>
      </c>
      <c r="C57" s="7"/>
      <c r="E57">
        <v>1698</v>
      </c>
      <c r="F57" t="s">
        <v>649</v>
      </c>
      <c r="G57" t="s">
        <v>650</v>
      </c>
    </row>
    <row r="58" spans="1:7" x14ac:dyDescent="0.25">
      <c r="A58" s="7">
        <v>7</v>
      </c>
      <c r="B58" s="7" t="s">
        <v>17</v>
      </c>
      <c r="C58" s="7"/>
      <c r="E58">
        <v>1700</v>
      </c>
      <c r="F58" t="s">
        <v>1031</v>
      </c>
      <c r="G58" t="s">
        <v>1032</v>
      </c>
    </row>
    <row r="59" spans="1:7" x14ac:dyDescent="0.25">
      <c r="A59" s="7">
        <v>13</v>
      </c>
      <c r="B59" s="7" t="s">
        <v>131</v>
      </c>
      <c r="C59" s="7"/>
      <c r="E59">
        <v>1801</v>
      </c>
      <c r="F59" t="s">
        <v>307</v>
      </c>
      <c r="G59" t="s">
        <v>308</v>
      </c>
    </row>
    <row r="60" spans="1:7" x14ac:dyDescent="0.25">
      <c r="A60" s="7">
        <v>20</v>
      </c>
      <c r="B60" s="7" t="s">
        <v>9</v>
      </c>
      <c r="C60" s="7"/>
      <c r="E60">
        <v>1829</v>
      </c>
      <c r="F60" t="s">
        <v>464</v>
      </c>
      <c r="G60" t="s">
        <v>465</v>
      </c>
    </row>
    <row r="61" spans="1:7" x14ac:dyDescent="0.25">
      <c r="A61" s="7">
        <v>21</v>
      </c>
      <c r="B61" s="7" t="s">
        <v>134</v>
      </c>
      <c r="C61" s="7"/>
      <c r="E61">
        <v>1858</v>
      </c>
      <c r="F61" t="s">
        <v>431</v>
      </c>
      <c r="G61" t="s">
        <v>432</v>
      </c>
    </row>
    <row r="62" spans="1:7" x14ac:dyDescent="0.25">
      <c r="A62" s="7">
        <v>24</v>
      </c>
      <c r="B62" s="7" t="s">
        <v>27</v>
      </c>
      <c r="C62" s="7"/>
      <c r="E62">
        <v>1863</v>
      </c>
      <c r="F62" t="s">
        <v>252</v>
      </c>
      <c r="G62" t="s">
        <v>416</v>
      </c>
    </row>
    <row r="63" spans="1:7" x14ac:dyDescent="0.25">
      <c r="A63" s="7">
        <v>25</v>
      </c>
      <c r="B63" s="7" t="s">
        <v>41</v>
      </c>
      <c r="C63" s="7"/>
      <c r="E63">
        <v>1878</v>
      </c>
      <c r="F63" t="s">
        <v>663</v>
      </c>
      <c r="G63" t="s">
        <v>664</v>
      </c>
    </row>
    <row r="64" spans="1:7" x14ac:dyDescent="0.25">
      <c r="A64" s="7">
        <v>34</v>
      </c>
      <c r="B64" s="7" t="s">
        <v>234</v>
      </c>
      <c r="C64" s="7"/>
      <c r="E64">
        <v>1969</v>
      </c>
      <c r="F64" t="s">
        <v>266</v>
      </c>
      <c r="G64" t="s">
        <v>419</v>
      </c>
    </row>
    <row r="65" spans="1:7" x14ac:dyDescent="0.25">
      <c r="A65" s="7">
        <v>38</v>
      </c>
      <c r="B65" s="7" t="s">
        <v>120</v>
      </c>
      <c r="C65" s="7"/>
      <c r="E65">
        <v>2016</v>
      </c>
      <c r="F65" t="s">
        <v>667</v>
      </c>
      <c r="G65" t="s">
        <v>668</v>
      </c>
    </row>
    <row r="66" spans="1:7" x14ac:dyDescent="0.25">
      <c r="A66" s="7">
        <v>44</v>
      </c>
      <c r="B66" s="7" t="s">
        <v>168</v>
      </c>
      <c r="C66" s="7"/>
      <c r="E66">
        <v>2017</v>
      </c>
      <c r="F66" t="s">
        <v>435</v>
      </c>
      <c r="G66" t="s">
        <v>436</v>
      </c>
    </row>
    <row r="67" spans="1:7" x14ac:dyDescent="0.25">
      <c r="A67" s="7">
        <v>49</v>
      </c>
      <c r="B67" s="7" t="s">
        <v>107</v>
      </c>
      <c r="C67" s="7"/>
      <c r="E67">
        <v>2018</v>
      </c>
      <c r="F67" t="s">
        <v>437</v>
      </c>
      <c r="G67" t="s">
        <v>438</v>
      </c>
    </row>
    <row r="68" spans="1:7" x14ac:dyDescent="0.25">
      <c r="A68" s="7">
        <v>58</v>
      </c>
      <c r="B68" s="7" t="s">
        <v>150</v>
      </c>
      <c r="C68" s="7"/>
      <c r="E68">
        <v>2019</v>
      </c>
      <c r="F68" t="s">
        <v>439</v>
      </c>
      <c r="G68" t="s">
        <v>440</v>
      </c>
    </row>
    <row r="69" spans="1:7" x14ac:dyDescent="0.25">
      <c r="A69" s="7">
        <v>65</v>
      </c>
      <c r="B69" s="7" t="s">
        <v>154</v>
      </c>
      <c r="C69" s="7"/>
      <c r="E69">
        <v>2024</v>
      </c>
      <c r="F69" t="s">
        <v>441</v>
      </c>
      <c r="G69" t="s">
        <v>442</v>
      </c>
    </row>
    <row r="70" spans="1:7" x14ac:dyDescent="0.25">
      <c r="A70" s="7">
        <v>78</v>
      </c>
      <c r="B70" s="7" t="s">
        <v>171</v>
      </c>
      <c r="C70" s="7"/>
      <c r="E70">
        <v>2090</v>
      </c>
      <c r="F70" t="s">
        <v>367</v>
      </c>
      <c r="G70" t="s">
        <v>368</v>
      </c>
    </row>
    <row r="71" spans="1:7" x14ac:dyDescent="0.25">
      <c r="A71" s="7">
        <v>80</v>
      </c>
      <c r="B71" s="7" t="s">
        <v>161</v>
      </c>
      <c r="C71" s="7"/>
      <c r="E71">
        <v>2094</v>
      </c>
      <c r="F71" t="s">
        <v>335</v>
      </c>
      <c r="G71" t="s">
        <v>336</v>
      </c>
    </row>
    <row r="72" spans="1:7" x14ac:dyDescent="0.25">
      <c r="A72" s="7">
        <v>84</v>
      </c>
      <c r="B72" s="7" t="s">
        <v>163</v>
      </c>
      <c r="C72" s="7"/>
      <c r="E72">
        <v>2098</v>
      </c>
      <c r="F72" t="s">
        <v>337</v>
      </c>
      <c r="G72" t="s">
        <v>338</v>
      </c>
    </row>
    <row r="73" spans="1:7" x14ac:dyDescent="0.25">
      <c r="A73" s="7">
        <v>85</v>
      </c>
      <c r="B73" s="7" t="s">
        <v>164</v>
      </c>
      <c r="C73" s="7"/>
      <c r="E73">
        <v>2135</v>
      </c>
      <c r="F73" t="s">
        <v>964</v>
      </c>
      <c r="G73" t="s">
        <v>965</v>
      </c>
    </row>
    <row r="74" spans="1:7" x14ac:dyDescent="0.25">
      <c r="A74" s="7">
        <v>90</v>
      </c>
      <c r="B74" s="7" t="s">
        <v>173</v>
      </c>
      <c r="C74" s="7"/>
      <c r="E74">
        <v>2142</v>
      </c>
      <c r="F74" t="s">
        <v>287</v>
      </c>
      <c r="G74" t="s">
        <v>288</v>
      </c>
    </row>
    <row r="75" spans="1:7" x14ac:dyDescent="0.25">
      <c r="E75">
        <v>2147</v>
      </c>
      <c r="F75" t="s">
        <v>254</v>
      </c>
      <c r="G75" t="s">
        <v>417</v>
      </c>
    </row>
    <row r="76" spans="1:7" x14ac:dyDescent="0.25">
      <c r="E76">
        <v>2294</v>
      </c>
      <c r="F76" t="s">
        <v>256</v>
      </c>
      <c r="G76" t="s">
        <v>423</v>
      </c>
    </row>
    <row r="77" spans="1:7" x14ac:dyDescent="0.25">
      <c r="E77">
        <v>2295</v>
      </c>
      <c r="F77" t="s">
        <v>260</v>
      </c>
      <c r="G77" t="s">
        <v>424</v>
      </c>
    </row>
    <row r="78" spans="1:7" x14ac:dyDescent="0.25">
      <c r="E78">
        <v>2297</v>
      </c>
      <c r="F78" t="s">
        <v>258</v>
      </c>
      <c r="G78" t="s">
        <v>418</v>
      </c>
    </row>
    <row r="79" spans="1:7" x14ac:dyDescent="0.25">
      <c r="E79">
        <v>2320</v>
      </c>
      <c r="F79" t="s">
        <v>673</v>
      </c>
      <c r="G79" t="s">
        <v>674</v>
      </c>
    </row>
    <row r="80" spans="1:7" x14ac:dyDescent="0.25">
      <c r="E80">
        <v>2485</v>
      </c>
      <c r="F80" t="s">
        <v>681</v>
      </c>
      <c r="G80" t="s">
        <v>682</v>
      </c>
    </row>
    <row r="81" spans="5:7" x14ac:dyDescent="0.25">
      <c r="E81">
        <v>2557</v>
      </c>
      <c r="F81" t="s">
        <v>268</v>
      </c>
      <c r="G81" t="s">
        <v>420</v>
      </c>
    </row>
    <row r="82" spans="5:7" x14ac:dyDescent="0.25">
      <c r="E82">
        <v>2568</v>
      </c>
      <c r="F82" t="s">
        <v>466</v>
      </c>
      <c r="G82" t="s">
        <v>467</v>
      </c>
    </row>
    <row r="83" spans="5:7" x14ac:dyDescent="0.25">
      <c r="E83">
        <v>2617</v>
      </c>
      <c r="F83" t="s">
        <v>966</v>
      </c>
      <c r="G83" t="s">
        <v>967</v>
      </c>
    </row>
    <row r="84" spans="5:7" x14ac:dyDescent="0.25">
      <c r="E84">
        <v>2628</v>
      </c>
      <c r="F84" t="s">
        <v>968</v>
      </c>
      <c r="G84" t="s">
        <v>969</v>
      </c>
    </row>
    <row r="85" spans="5:7" x14ac:dyDescent="0.25">
      <c r="E85">
        <v>2748</v>
      </c>
      <c r="F85" t="s">
        <v>421</v>
      </c>
      <c r="G85" t="s">
        <v>422</v>
      </c>
    </row>
    <row r="86" spans="5:7" x14ac:dyDescent="0.25">
      <c r="E86">
        <v>2918</v>
      </c>
      <c r="F86" t="s">
        <v>696</v>
      </c>
      <c r="G86" t="s">
        <v>697</v>
      </c>
    </row>
    <row r="87" spans="5:7" x14ac:dyDescent="0.25">
      <c r="E87">
        <v>2984</v>
      </c>
      <c r="F87" t="s">
        <v>970</v>
      </c>
      <c r="G87" t="s">
        <v>971</v>
      </c>
    </row>
    <row r="88" spans="5:7" x14ac:dyDescent="0.25">
      <c r="E88">
        <v>3020</v>
      </c>
      <c r="F88" t="s">
        <v>702</v>
      </c>
      <c r="G88" t="s">
        <v>703</v>
      </c>
    </row>
    <row r="89" spans="5:7" x14ac:dyDescent="0.25">
      <c r="E89">
        <v>3038</v>
      </c>
      <c r="F89" t="s">
        <v>706</v>
      </c>
      <c r="G89" t="s">
        <v>707</v>
      </c>
    </row>
    <row r="90" spans="5:7" x14ac:dyDescent="0.25">
      <c r="E90">
        <v>3316</v>
      </c>
      <c r="F90" t="s">
        <v>1035</v>
      </c>
      <c r="G90" t="s">
        <v>1036</v>
      </c>
    </row>
    <row r="91" spans="5:7" x14ac:dyDescent="0.25">
      <c r="E91">
        <v>3596</v>
      </c>
      <c r="F91" t="s">
        <v>508</v>
      </c>
      <c r="G91" t="s">
        <v>509</v>
      </c>
    </row>
    <row r="92" spans="5:7" x14ac:dyDescent="0.25">
      <c r="E92">
        <v>3646</v>
      </c>
      <c r="F92" t="s">
        <v>745</v>
      </c>
      <c r="G92" t="s">
        <v>746</v>
      </c>
    </row>
    <row r="93" spans="5:7" x14ac:dyDescent="0.25">
      <c r="E93">
        <v>3648</v>
      </c>
      <c r="F93" t="s">
        <v>974</v>
      </c>
      <c r="G93" t="s">
        <v>975</v>
      </c>
    </row>
    <row r="94" spans="5:7" x14ac:dyDescent="0.25">
      <c r="E94">
        <v>3650</v>
      </c>
      <c r="F94" t="s">
        <v>747</v>
      </c>
      <c r="G94" t="s">
        <v>748</v>
      </c>
    </row>
    <row r="95" spans="5:7" x14ac:dyDescent="0.25">
      <c r="E95">
        <v>3654</v>
      </c>
      <c r="F95" t="s">
        <v>749</v>
      </c>
      <c r="G95" t="s">
        <v>750</v>
      </c>
    </row>
    <row r="96" spans="5:7" x14ac:dyDescent="0.25">
      <c r="E96">
        <v>3655</v>
      </c>
      <c r="F96" t="s">
        <v>751</v>
      </c>
      <c r="G96" t="s">
        <v>752</v>
      </c>
    </row>
    <row r="97" spans="5:7" x14ac:dyDescent="0.25">
      <c r="E97">
        <v>3656</v>
      </c>
      <c r="F97" t="s">
        <v>753</v>
      </c>
      <c r="G97" t="s">
        <v>754</v>
      </c>
    </row>
    <row r="98" spans="5:7" x14ac:dyDescent="0.25">
      <c r="E98">
        <v>3657</v>
      </c>
      <c r="F98" t="s">
        <v>755</v>
      </c>
      <c r="G98" t="s">
        <v>756</v>
      </c>
    </row>
    <row r="99" spans="5:7" x14ac:dyDescent="0.25">
      <c r="E99">
        <v>3658</v>
      </c>
      <c r="F99" t="s">
        <v>757</v>
      </c>
      <c r="G99" t="s">
        <v>758</v>
      </c>
    </row>
    <row r="100" spans="5:7" x14ac:dyDescent="0.25">
      <c r="E100">
        <v>3659</v>
      </c>
      <c r="F100" t="s">
        <v>759</v>
      </c>
      <c r="G100" t="s">
        <v>760</v>
      </c>
    </row>
    <row r="101" spans="5:7" x14ac:dyDescent="0.25">
      <c r="E101">
        <v>3660</v>
      </c>
      <c r="F101" t="s">
        <v>761</v>
      </c>
      <c r="G101" t="s">
        <v>762</v>
      </c>
    </row>
    <row r="102" spans="5:7" x14ac:dyDescent="0.25">
      <c r="E102">
        <v>3661</v>
      </c>
      <c r="F102" t="s">
        <v>763</v>
      </c>
      <c r="G102" t="s">
        <v>764</v>
      </c>
    </row>
    <row r="103" spans="5:7" x14ac:dyDescent="0.25">
      <c r="E103">
        <v>3662</v>
      </c>
      <c r="F103" t="s">
        <v>765</v>
      </c>
      <c r="G103" t="s">
        <v>766</v>
      </c>
    </row>
    <row r="104" spans="5:7" x14ac:dyDescent="0.25">
      <c r="E104">
        <v>3663</v>
      </c>
      <c r="F104" t="s">
        <v>767</v>
      </c>
      <c r="G104" t="s">
        <v>768</v>
      </c>
    </row>
    <row r="105" spans="5:7" x14ac:dyDescent="0.25">
      <c r="E105">
        <v>3664</v>
      </c>
      <c r="F105" t="s">
        <v>769</v>
      </c>
      <c r="G105" t="s">
        <v>770</v>
      </c>
    </row>
    <row r="106" spans="5:7" x14ac:dyDescent="0.25">
      <c r="E106">
        <v>3665</v>
      </c>
      <c r="F106" t="s">
        <v>771</v>
      </c>
      <c r="G106" t="s">
        <v>772</v>
      </c>
    </row>
    <row r="107" spans="5:7" x14ac:dyDescent="0.25">
      <c r="E107">
        <v>3815</v>
      </c>
      <c r="F107" t="s">
        <v>451</v>
      </c>
      <c r="G107" t="s">
        <v>452</v>
      </c>
    </row>
    <row r="108" spans="5:7" x14ac:dyDescent="0.25">
      <c r="E108">
        <v>3923</v>
      </c>
      <c r="F108" t="s">
        <v>1015</v>
      </c>
      <c r="G108" t="s">
        <v>1016</v>
      </c>
    </row>
    <row r="109" spans="5:7" x14ac:dyDescent="0.25">
      <c r="E109">
        <v>3940</v>
      </c>
      <c r="F109" t="s">
        <v>373</v>
      </c>
      <c r="G109" t="s">
        <v>374</v>
      </c>
    </row>
    <row r="110" spans="5:7" x14ac:dyDescent="0.25">
      <c r="E110">
        <v>4120</v>
      </c>
      <c r="F110" t="s">
        <v>1029</v>
      </c>
      <c r="G110" t="s">
        <v>1043</v>
      </c>
    </row>
    <row r="111" spans="5:7" x14ac:dyDescent="0.25">
      <c r="E111">
        <v>4206</v>
      </c>
      <c r="F111" t="s">
        <v>775</v>
      </c>
      <c r="G111" t="s">
        <v>776</v>
      </c>
    </row>
    <row r="112" spans="5:7" x14ac:dyDescent="0.25">
      <c r="E112">
        <v>4238</v>
      </c>
      <c r="F112" t="s">
        <v>779</v>
      </c>
      <c r="G112" t="s">
        <v>780</v>
      </c>
    </row>
    <row r="113" spans="5:7" x14ac:dyDescent="0.25">
      <c r="E113">
        <v>4268</v>
      </c>
      <c r="F113" t="s">
        <v>781</v>
      </c>
      <c r="G113" t="s">
        <v>782</v>
      </c>
    </row>
    <row r="114" spans="5:7" x14ac:dyDescent="0.25">
      <c r="E114">
        <v>4273</v>
      </c>
      <c r="F114" t="s">
        <v>1044</v>
      </c>
      <c r="G114" t="s">
        <v>1045</v>
      </c>
    </row>
    <row r="115" spans="5:7" x14ac:dyDescent="0.25">
      <c r="E115">
        <v>4294</v>
      </c>
      <c r="F115" t="s">
        <v>783</v>
      </c>
      <c r="G115" t="s">
        <v>784</v>
      </c>
    </row>
    <row r="116" spans="5:7" x14ac:dyDescent="0.25">
      <c r="E116">
        <v>4378</v>
      </c>
      <c r="F116" t="s">
        <v>281</v>
      </c>
      <c r="G116" t="s">
        <v>282</v>
      </c>
    </row>
    <row r="117" spans="5:7" x14ac:dyDescent="0.25">
      <c r="E117">
        <v>4771</v>
      </c>
      <c r="F117" t="s">
        <v>809</v>
      </c>
      <c r="G117" t="s">
        <v>810</v>
      </c>
    </row>
    <row r="118" spans="5:7" x14ac:dyDescent="0.25">
      <c r="E118">
        <v>4773</v>
      </c>
      <c r="F118" t="s">
        <v>811</v>
      </c>
      <c r="G118" t="s">
        <v>812</v>
      </c>
    </row>
    <row r="119" spans="5:7" x14ac:dyDescent="0.25">
      <c r="E119">
        <v>5577</v>
      </c>
      <c r="F119" t="s">
        <v>845</v>
      </c>
      <c r="G119" t="s">
        <v>846</v>
      </c>
    </row>
    <row r="120" spans="5:7" x14ac:dyDescent="0.25">
      <c r="E120">
        <v>5578</v>
      </c>
      <c r="F120" t="s">
        <v>847</v>
      </c>
      <c r="G120" t="s">
        <v>848</v>
      </c>
    </row>
    <row r="121" spans="5:7" x14ac:dyDescent="0.25">
      <c r="E121">
        <v>5635</v>
      </c>
      <c r="F121" t="s">
        <v>855</v>
      </c>
      <c r="G121" t="s">
        <v>856</v>
      </c>
    </row>
    <row r="122" spans="5:7" x14ac:dyDescent="0.25">
      <c r="E122">
        <v>7461</v>
      </c>
      <c r="F122" t="s">
        <v>1017</v>
      </c>
      <c r="G122" t="s">
        <v>1018</v>
      </c>
    </row>
    <row r="123" spans="5:7" x14ac:dyDescent="0.25">
      <c r="E123">
        <v>7606</v>
      </c>
      <c r="F123" t="s">
        <v>1046</v>
      </c>
      <c r="G123" t="s">
        <v>1047</v>
      </c>
    </row>
    <row r="124" spans="5:7" x14ac:dyDescent="0.25">
      <c r="E124">
        <v>7607</v>
      </c>
      <c r="F124" t="s">
        <v>1029</v>
      </c>
      <c r="G124" t="s">
        <v>1030</v>
      </c>
    </row>
    <row r="125" spans="5:7" x14ac:dyDescent="0.25">
      <c r="E125">
        <v>7618</v>
      </c>
      <c r="F125" t="s">
        <v>453</v>
      </c>
      <c r="G125" t="s">
        <v>454</v>
      </c>
    </row>
    <row r="126" spans="5:7" x14ac:dyDescent="0.25">
      <c r="E126">
        <v>8218</v>
      </c>
      <c r="F126" t="s">
        <v>890</v>
      </c>
      <c r="G126" t="s">
        <v>891</v>
      </c>
    </row>
    <row r="127" spans="5:7" x14ac:dyDescent="0.25">
      <c r="E127">
        <v>8221</v>
      </c>
      <c r="F127" t="s">
        <v>892</v>
      </c>
      <c r="G127" t="s">
        <v>893</v>
      </c>
    </row>
    <row r="128" spans="5:7" x14ac:dyDescent="0.25">
      <c r="E128">
        <v>8232</v>
      </c>
      <c r="F128" t="s">
        <v>1027</v>
      </c>
      <c r="G128" t="s">
        <v>1028</v>
      </c>
    </row>
    <row r="129" spans="5:7" x14ac:dyDescent="0.25">
      <c r="E129">
        <v>8237</v>
      </c>
      <c r="F129" t="s">
        <v>289</v>
      </c>
      <c r="G129" t="s">
        <v>290</v>
      </c>
    </row>
    <row r="130" spans="5:7" x14ac:dyDescent="0.25">
      <c r="E130">
        <v>8238</v>
      </c>
      <c r="F130" t="s">
        <v>291</v>
      </c>
      <c r="G130" t="s">
        <v>292</v>
      </c>
    </row>
    <row r="131" spans="5:7" x14ac:dyDescent="0.25">
      <c r="E131">
        <v>8245</v>
      </c>
      <c r="F131" t="s">
        <v>293</v>
      </c>
      <c r="G131" t="s">
        <v>294</v>
      </c>
    </row>
    <row r="132" spans="5:7" x14ac:dyDescent="0.25">
      <c r="E132">
        <v>8363</v>
      </c>
      <c r="F132" t="s">
        <v>443</v>
      </c>
      <c r="G132" t="s">
        <v>444</v>
      </c>
    </row>
    <row r="133" spans="5:7" x14ac:dyDescent="0.25">
      <c r="E133">
        <v>8364</v>
      </c>
      <c r="F133" t="s">
        <v>445</v>
      </c>
      <c r="G133" t="s">
        <v>446</v>
      </c>
    </row>
    <row r="134" spans="5:7" x14ac:dyDescent="0.25">
      <c r="E134">
        <v>8368</v>
      </c>
      <c r="F134" t="s">
        <v>976</v>
      </c>
      <c r="G134" t="s">
        <v>977</v>
      </c>
    </row>
    <row r="135" spans="5:7" x14ac:dyDescent="0.25">
      <c r="E135">
        <v>8550</v>
      </c>
      <c r="F135" t="s">
        <v>900</v>
      </c>
      <c r="G135" t="s">
        <v>901</v>
      </c>
    </row>
    <row r="136" spans="5:7" x14ac:dyDescent="0.25">
      <c r="E136">
        <v>8700</v>
      </c>
      <c r="F136" t="s">
        <v>978</v>
      </c>
      <c r="G136" t="s">
        <v>979</v>
      </c>
    </row>
    <row r="137" spans="5:7" x14ac:dyDescent="0.25">
      <c r="E137">
        <v>9009</v>
      </c>
      <c r="F137" t="s">
        <v>994</v>
      </c>
      <c r="G137" t="s">
        <v>995</v>
      </c>
    </row>
    <row r="138" spans="5:7" x14ac:dyDescent="0.25">
      <c r="E138">
        <v>9030</v>
      </c>
      <c r="F138" t="s">
        <v>494</v>
      </c>
      <c r="G138" t="s">
        <v>495</v>
      </c>
    </row>
    <row r="139" spans="5:7" x14ac:dyDescent="0.25">
      <c r="E139">
        <v>9372</v>
      </c>
      <c r="F139" t="s">
        <v>510</v>
      </c>
      <c r="G139" t="s">
        <v>511</v>
      </c>
    </row>
    <row r="140" spans="5:7" x14ac:dyDescent="0.25">
      <c r="E140">
        <v>9380</v>
      </c>
      <c r="F140" t="s">
        <v>980</v>
      </c>
      <c r="G140" t="s">
        <v>981</v>
      </c>
    </row>
    <row r="141" spans="5:7" x14ac:dyDescent="0.25">
      <c r="E141">
        <v>9597</v>
      </c>
      <c r="F141" t="s">
        <v>982</v>
      </c>
      <c r="G141" t="s">
        <v>983</v>
      </c>
    </row>
    <row r="142" spans="5:7" x14ac:dyDescent="0.25">
      <c r="E142">
        <v>10244</v>
      </c>
      <c r="F142" t="s">
        <v>984</v>
      </c>
      <c r="G142" t="s">
        <v>985</v>
      </c>
    </row>
    <row r="143" spans="5:7" x14ac:dyDescent="0.25">
      <c r="E143">
        <v>10648</v>
      </c>
      <c r="F143" t="s">
        <v>986</v>
      </c>
      <c r="G143" t="s">
        <v>987</v>
      </c>
    </row>
    <row r="144" spans="5:7" x14ac:dyDescent="0.25">
      <c r="E144">
        <v>10716</v>
      </c>
      <c r="F144" t="s">
        <v>988</v>
      </c>
      <c r="G144" t="s">
        <v>989</v>
      </c>
    </row>
    <row r="145" spans="5:7" x14ac:dyDescent="0.25">
      <c r="E145">
        <v>10813</v>
      </c>
      <c r="F145" t="s">
        <v>916</v>
      </c>
      <c r="G145" t="s">
        <v>917</v>
      </c>
    </row>
    <row r="146" spans="5:7" x14ac:dyDescent="0.25">
      <c r="E146">
        <v>11029</v>
      </c>
      <c r="F146" t="s">
        <v>926</v>
      </c>
      <c r="G146" t="s">
        <v>927</v>
      </c>
    </row>
    <row r="147" spans="5:7" x14ac:dyDescent="0.25">
      <c r="E147">
        <v>11893</v>
      </c>
      <c r="F147" t="s">
        <v>447</v>
      </c>
      <c r="G147" t="s">
        <v>448</v>
      </c>
    </row>
    <row r="148" spans="5:7" x14ac:dyDescent="0.25">
      <c r="E148">
        <v>12240</v>
      </c>
      <c r="F148" t="s">
        <v>992</v>
      </c>
      <c r="G148" t="s">
        <v>993</v>
      </c>
    </row>
    <row r="149" spans="5:7" x14ac:dyDescent="0.25">
      <c r="E149">
        <v>12852</v>
      </c>
      <c r="F149" t="s">
        <v>938</v>
      </c>
      <c r="G149" t="s">
        <v>939</v>
      </c>
    </row>
  </sheetData>
  <pageMargins left="0.7" right="0.7" top="0.75" bottom="0.75" header="0.3" footer="0.3"/>
  <pageSetup orientation="portrait" r:id="rId1"/>
  <tableParts count="3">
    <tablePart r:id="rId2"/>
    <tablePart r:id="rId3"/>
    <tablePart r:id="rId4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38BF6-D152-4FAB-9BAF-4380B77E5943}">
  <dimension ref="A1:Q178"/>
  <sheetViews>
    <sheetView workbookViewId="0">
      <selection activeCell="P12" sqref="P12"/>
    </sheetView>
  </sheetViews>
  <sheetFormatPr defaultRowHeight="15" x14ac:dyDescent="0.25"/>
  <cols>
    <col min="1" max="2" width="13.7109375" customWidth="1"/>
    <col min="3" max="3" width="15.42578125" customWidth="1"/>
    <col min="4" max="4" width="14.42578125" customWidth="1"/>
    <col min="5" max="5" width="15.7109375" customWidth="1"/>
    <col min="6" max="6" width="17.140625" customWidth="1"/>
    <col min="7" max="8" width="9.140625" bestFit="1" customWidth="1"/>
    <col min="9" max="9" width="9.5703125" bestFit="1" customWidth="1"/>
    <col min="10" max="10" width="9" bestFit="1" customWidth="1"/>
    <col min="11" max="11" width="9" customWidth="1"/>
    <col min="12" max="12" width="15.42578125" customWidth="1"/>
    <col min="13" max="13" width="16.140625" bestFit="1" customWidth="1"/>
    <col min="14" max="14" width="9.5703125" customWidth="1"/>
  </cols>
  <sheetData>
    <row r="1" spans="1:17" ht="30" x14ac:dyDescent="0.25">
      <c r="A1" t="s">
        <v>176</v>
      </c>
      <c r="B1" t="s">
        <v>177</v>
      </c>
      <c r="C1" t="s">
        <v>178</v>
      </c>
      <c r="D1" t="s">
        <v>179</v>
      </c>
      <c r="E1" s="2" t="s">
        <v>180</v>
      </c>
      <c r="F1" s="1" t="s">
        <v>181</v>
      </c>
      <c r="G1" t="s">
        <v>182</v>
      </c>
      <c r="H1" t="s">
        <v>183</v>
      </c>
      <c r="I1" t="s">
        <v>184</v>
      </c>
      <c r="J1" t="s">
        <v>185</v>
      </c>
      <c r="L1" s="14" t="s">
        <v>1049</v>
      </c>
      <c r="M1" s="13" t="s">
        <v>1048</v>
      </c>
      <c r="N1" s="15" t="s">
        <v>1050</v>
      </c>
      <c r="O1" s="3" t="s">
        <v>183</v>
      </c>
      <c r="P1" s="3" t="s">
        <v>184</v>
      </c>
      <c r="Q1" s="3" t="s">
        <v>185</v>
      </c>
    </row>
    <row r="2" spans="1:17" x14ac:dyDescent="0.25">
      <c r="A2" t="s">
        <v>60</v>
      </c>
      <c r="E2" t="b">
        <f>NOT(OR(ISBLANK(A2),ISBLANK(B2),ISBLANK(C2),ISBLANK(D2)))</f>
        <v>0</v>
      </c>
      <c r="F2" t="b">
        <f>NOT(OR(ISBLANK(B2),ISBLANK(C2),ISBLANK(D2)))</f>
        <v>0</v>
      </c>
      <c r="G2" t="b">
        <f>AND(NOT(ISBLANK(EC_comparison[[#This Row],[Aureus]])),ISBLANK(EC_comparison[[#This Row],[Genitalium]]),ISBLANK(EC_comparison[[#This Row],[Minesweeper]]),ISBLANK(EC_comparison[[#This Row],[Pneumoniae]]))</f>
        <v>1</v>
      </c>
      <c r="H2" t="b">
        <f>AND(NOT(ISBLANK(EC_comparison[[#This Row],[Genitalium]])),ISBLANK(EC_comparison[[#This Row],[Aureus]]),ISBLANK(EC_comparison[[#This Row],[Minesweeper]]),ISBLANK(EC_comparison[[#This Row],[Pneumoniae]]))</f>
        <v>0</v>
      </c>
      <c r="I2" t="b">
        <f>AND(NOT(ISBLANK(EC_comparison[[#This Row],[Minesweeper]])),ISBLANK(EC_comparison[[#This Row],[Aureus]]),ISBLANK(EC_comparison[[#This Row],[Genitalium]]),ISBLANK(EC_comparison[[#This Row],[Pneumoniae]]))</f>
        <v>0</v>
      </c>
      <c r="J2" t="b">
        <f>AND(NOT(ISBLANK(EC_comparison[[#This Row],[Pneumoniae]])),ISBLANK(EC_comparison[[#This Row],[Aureus]]),ISBLANK(EC_comparison[[#This Row],[Genitalium]]),ISBLANK(EC_comparison[[#This Row],[Minesweeper]]))</f>
        <v>0</v>
      </c>
      <c r="L2" t="s">
        <v>27</v>
      </c>
      <c r="M2" t="s">
        <v>27</v>
      </c>
      <c r="N2" t="s">
        <v>60</v>
      </c>
      <c r="O2" t="s">
        <v>147</v>
      </c>
      <c r="P2" t="s">
        <v>171</v>
      </c>
      <c r="Q2" t="s">
        <v>175</v>
      </c>
    </row>
    <row r="3" spans="1:17" x14ac:dyDescent="0.25">
      <c r="A3" t="s">
        <v>3</v>
      </c>
      <c r="E3" t="b">
        <f t="shared" ref="E3:E66" si="0">NOT(OR(ISBLANK(A3),ISBLANK(B3),ISBLANK(C3),ISBLANK(D3)))</f>
        <v>0</v>
      </c>
      <c r="F3" t="b">
        <f t="shared" ref="F3:F66" si="1">NOT(OR(ISBLANK(B3),ISBLANK(C3),ISBLANK(D3)))</f>
        <v>0</v>
      </c>
      <c r="G3" t="b">
        <f>AND(NOT(ISBLANK(EC_comparison[[#This Row],[Aureus]])),ISBLANK(EC_comparison[[#This Row],[Genitalium]]),ISBLANK(EC_comparison[[#This Row],[Minesweeper]]),ISBLANK(EC_comparison[[#This Row],[Pneumoniae]]))</f>
        <v>1</v>
      </c>
      <c r="H3" t="b">
        <f>AND(NOT(ISBLANK(EC_comparison[[#This Row],[Genitalium]])),ISBLANK(EC_comparison[[#This Row],[Aureus]]),ISBLANK(EC_comparison[[#This Row],[Minesweeper]]),ISBLANK(EC_comparison[[#This Row],[Pneumoniae]]))</f>
        <v>0</v>
      </c>
      <c r="I3" t="b">
        <f>AND(NOT(ISBLANK(EC_comparison[[#This Row],[Minesweeper]])),ISBLANK(EC_comparison[[#This Row],[Aureus]]),ISBLANK(EC_comparison[[#This Row],[Genitalium]]),ISBLANK(EC_comparison[[#This Row],[Pneumoniae]]))</f>
        <v>0</v>
      </c>
      <c r="J3" t="b">
        <f>AND(NOT(ISBLANK(EC_comparison[[#This Row],[Pneumoniae]])),ISBLANK(EC_comparison[[#This Row],[Aureus]]),ISBLANK(EC_comparison[[#This Row],[Genitalium]]),ISBLANK(EC_comparison[[#This Row],[Minesweeper]]))</f>
        <v>0</v>
      </c>
      <c r="L3" t="s">
        <v>57</v>
      </c>
      <c r="M3" t="s">
        <v>163</v>
      </c>
      <c r="N3" t="s">
        <v>3</v>
      </c>
      <c r="O3" t="s">
        <v>148</v>
      </c>
      <c r="P3" t="s">
        <v>170</v>
      </c>
      <c r="Q3" t="s">
        <v>174</v>
      </c>
    </row>
    <row r="4" spans="1:17" x14ac:dyDescent="0.25">
      <c r="A4" t="s">
        <v>87</v>
      </c>
      <c r="E4" t="b">
        <f t="shared" si="0"/>
        <v>0</v>
      </c>
      <c r="F4" t="b">
        <f t="shared" si="1"/>
        <v>0</v>
      </c>
      <c r="G4" t="b">
        <f>AND(NOT(ISBLANK(EC_comparison[[#This Row],[Aureus]])),ISBLANK(EC_comparison[[#This Row],[Genitalium]]),ISBLANK(EC_comparison[[#This Row],[Minesweeper]]),ISBLANK(EC_comparison[[#This Row],[Pneumoniae]]))</f>
        <v>1</v>
      </c>
      <c r="H4" t="b">
        <f>AND(NOT(ISBLANK(EC_comparison[[#This Row],[Genitalium]])),ISBLANK(EC_comparison[[#This Row],[Aureus]]),ISBLANK(EC_comparison[[#This Row],[Minesweeper]]),ISBLANK(EC_comparison[[#This Row],[Pneumoniae]]))</f>
        <v>0</v>
      </c>
      <c r="I4" t="b">
        <f>AND(NOT(ISBLANK(EC_comparison[[#This Row],[Minesweeper]])),ISBLANK(EC_comparison[[#This Row],[Aureus]]),ISBLANK(EC_comparison[[#This Row],[Genitalium]]),ISBLANK(EC_comparison[[#This Row],[Pneumoniae]]))</f>
        <v>0</v>
      </c>
      <c r="J4" t="b">
        <f>AND(NOT(ISBLANK(EC_comparison[[#This Row],[Pneumoniae]])),ISBLANK(EC_comparison[[#This Row],[Aureus]]),ISBLANK(EC_comparison[[#This Row],[Genitalium]]),ISBLANK(EC_comparison[[#This Row],[Minesweeper]]))</f>
        <v>0</v>
      </c>
      <c r="L4" t="s">
        <v>10</v>
      </c>
      <c r="M4" t="s">
        <v>57</v>
      </c>
      <c r="N4" t="s">
        <v>87</v>
      </c>
      <c r="O4" t="s">
        <v>146</v>
      </c>
      <c r="P4" t="s">
        <v>169</v>
      </c>
      <c r="Q4" t="s">
        <v>9</v>
      </c>
    </row>
    <row r="5" spans="1:17" x14ac:dyDescent="0.25">
      <c r="D5" t="s">
        <v>175</v>
      </c>
      <c r="E5" t="b">
        <f t="shared" si="0"/>
        <v>0</v>
      </c>
      <c r="F5" t="b">
        <f t="shared" si="1"/>
        <v>0</v>
      </c>
      <c r="G5" t="b">
        <f>AND(NOT(ISBLANK(EC_comparison[[#This Row],[Aureus]])),ISBLANK(EC_comparison[[#This Row],[Genitalium]]),ISBLANK(EC_comparison[[#This Row],[Minesweeper]]),ISBLANK(EC_comparison[[#This Row],[Pneumoniae]]))</f>
        <v>0</v>
      </c>
      <c r="H5" t="b">
        <f>AND(NOT(ISBLANK(EC_comparison[[#This Row],[Genitalium]])),ISBLANK(EC_comparison[[#This Row],[Aureus]]),ISBLANK(EC_comparison[[#This Row],[Minesweeper]]),ISBLANK(EC_comparison[[#This Row],[Pneumoniae]]))</f>
        <v>0</v>
      </c>
      <c r="I5" t="b">
        <f>AND(NOT(ISBLANK(EC_comparison[[#This Row],[Minesweeper]])),ISBLANK(EC_comparison[[#This Row],[Aureus]]),ISBLANK(EC_comparison[[#This Row],[Genitalium]]),ISBLANK(EC_comparison[[#This Row],[Pneumoniae]]))</f>
        <v>0</v>
      </c>
      <c r="J5" t="b">
        <f>AND(NOT(ISBLANK(EC_comparison[[#This Row],[Pneumoniae]])),ISBLANK(EC_comparison[[#This Row],[Aureus]]),ISBLANK(EC_comparison[[#This Row],[Genitalium]]),ISBLANK(EC_comparison[[#This Row],[Minesweeper]]))</f>
        <v>1</v>
      </c>
      <c r="L5" t="s">
        <v>105</v>
      </c>
      <c r="M5" t="s">
        <v>144</v>
      </c>
      <c r="N5" t="s">
        <v>80</v>
      </c>
      <c r="O5" t="s">
        <v>108</v>
      </c>
      <c r="P5" t="s">
        <v>168</v>
      </c>
    </row>
    <row r="6" spans="1:17" x14ac:dyDescent="0.25">
      <c r="A6" t="s">
        <v>80</v>
      </c>
      <c r="E6" t="b">
        <f t="shared" si="0"/>
        <v>0</v>
      </c>
      <c r="F6" t="b">
        <f t="shared" si="1"/>
        <v>0</v>
      </c>
      <c r="G6" t="b">
        <f>AND(NOT(ISBLANK(EC_comparison[[#This Row],[Aureus]])),ISBLANK(EC_comparison[[#This Row],[Genitalium]]),ISBLANK(EC_comparison[[#This Row],[Minesweeper]]),ISBLANK(EC_comparison[[#This Row],[Pneumoniae]]))</f>
        <v>1</v>
      </c>
      <c r="H6" t="b">
        <f>AND(NOT(ISBLANK(EC_comparison[[#This Row],[Genitalium]])),ISBLANK(EC_comparison[[#This Row],[Aureus]]),ISBLANK(EC_comparison[[#This Row],[Minesweeper]]),ISBLANK(EC_comparison[[#This Row],[Pneumoniae]]))</f>
        <v>0</v>
      </c>
      <c r="I6" t="b">
        <f>AND(NOT(ISBLANK(EC_comparison[[#This Row],[Minesweeper]])),ISBLANK(EC_comparison[[#This Row],[Aureus]]),ISBLANK(EC_comparison[[#This Row],[Genitalium]]),ISBLANK(EC_comparison[[#This Row],[Pneumoniae]]))</f>
        <v>0</v>
      </c>
      <c r="J6" t="b">
        <f>AND(NOT(ISBLANK(EC_comparison[[#This Row],[Pneumoniae]])),ISBLANK(EC_comparison[[#This Row],[Aureus]]),ISBLANK(EC_comparison[[#This Row],[Genitalium]]),ISBLANK(EC_comparison[[#This Row],[Minesweeper]]))</f>
        <v>0</v>
      </c>
      <c r="L6" t="s">
        <v>99</v>
      </c>
      <c r="M6" t="s">
        <v>131</v>
      </c>
      <c r="N6" t="s">
        <v>79</v>
      </c>
    </row>
    <row r="7" spans="1:17" x14ac:dyDescent="0.25">
      <c r="A7" t="s">
        <v>79</v>
      </c>
      <c r="E7" t="b">
        <f t="shared" si="0"/>
        <v>0</v>
      </c>
      <c r="F7" t="b">
        <f t="shared" si="1"/>
        <v>0</v>
      </c>
      <c r="G7" t="b">
        <f>AND(NOT(ISBLANK(EC_comparison[[#This Row],[Aureus]])),ISBLANK(EC_comparison[[#This Row],[Genitalium]]),ISBLANK(EC_comparison[[#This Row],[Minesweeper]]),ISBLANK(EC_comparison[[#This Row],[Pneumoniae]]))</f>
        <v>1</v>
      </c>
      <c r="H7" t="b">
        <f>AND(NOT(ISBLANK(EC_comparison[[#This Row],[Genitalium]])),ISBLANK(EC_comparison[[#This Row],[Aureus]]),ISBLANK(EC_comparison[[#This Row],[Minesweeper]]),ISBLANK(EC_comparison[[#This Row],[Pneumoniae]]))</f>
        <v>0</v>
      </c>
      <c r="I7" t="b">
        <f>AND(NOT(ISBLANK(EC_comparison[[#This Row],[Minesweeper]])),ISBLANK(EC_comparison[[#This Row],[Aureus]]),ISBLANK(EC_comparison[[#This Row],[Genitalium]]),ISBLANK(EC_comparison[[#This Row],[Pneumoniae]]))</f>
        <v>0</v>
      </c>
      <c r="J7" t="b">
        <f>AND(NOT(ISBLANK(EC_comparison[[#This Row],[Pneumoniae]])),ISBLANK(EC_comparison[[#This Row],[Aureus]]),ISBLANK(EC_comparison[[#This Row],[Genitalium]]),ISBLANK(EC_comparison[[#This Row],[Minesweeper]]))</f>
        <v>0</v>
      </c>
      <c r="L7" t="s">
        <v>56</v>
      </c>
      <c r="M7" t="s">
        <v>156</v>
      </c>
      <c r="N7" t="s">
        <v>124</v>
      </c>
    </row>
    <row r="8" spans="1:17" x14ac:dyDescent="0.25">
      <c r="A8" t="s">
        <v>124</v>
      </c>
      <c r="E8" t="b">
        <f t="shared" si="0"/>
        <v>0</v>
      </c>
      <c r="F8" t="b">
        <f t="shared" si="1"/>
        <v>0</v>
      </c>
      <c r="G8" t="b">
        <f>AND(NOT(ISBLANK(EC_comparison[[#This Row],[Aureus]])),ISBLANK(EC_comparison[[#This Row],[Genitalium]]),ISBLANK(EC_comparison[[#This Row],[Minesweeper]]),ISBLANK(EC_comparison[[#This Row],[Pneumoniae]]))</f>
        <v>1</v>
      </c>
      <c r="H8" t="b">
        <f>AND(NOT(ISBLANK(EC_comparison[[#This Row],[Genitalium]])),ISBLANK(EC_comparison[[#This Row],[Aureus]]),ISBLANK(EC_comparison[[#This Row],[Minesweeper]]),ISBLANK(EC_comparison[[#This Row],[Pneumoniae]]))</f>
        <v>0</v>
      </c>
      <c r="I8" t="b">
        <f>AND(NOT(ISBLANK(EC_comparison[[#This Row],[Minesweeper]])),ISBLANK(EC_comparison[[#This Row],[Aureus]]),ISBLANK(EC_comparison[[#This Row],[Genitalium]]),ISBLANK(EC_comparison[[#This Row],[Pneumoniae]]))</f>
        <v>0</v>
      </c>
      <c r="J8" t="b">
        <f>AND(NOT(ISBLANK(EC_comparison[[#This Row],[Pneumoniae]])),ISBLANK(EC_comparison[[#This Row],[Aureus]]),ISBLANK(EC_comparison[[#This Row],[Genitalium]]),ISBLANK(EC_comparison[[#This Row],[Minesweeper]]))</f>
        <v>0</v>
      </c>
      <c r="L8" t="s">
        <v>5</v>
      </c>
      <c r="M8" t="s">
        <v>132</v>
      </c>
      <c r="N8" t="s">
        <v>77</v>
      </c>
    </row>
    <row r="9" spans="1:17" x14ac:dyDescent="0.25">
      <c r="A9" t="s">
        <v>77</v>
      </c>
      <c r="E9" t="b">
        <f t="shared" si="0"/>
        <v>0</v>
      </c>
      <c r="F9" t="b">
        <f t="shared" si="1"/>
        <v>0</v>
      </c>
      <c r="G9" t="b">
        <f>AND(NOT(ISBLANK(EC_comparison[[#This Row],[Aureus]])),ISBLANK(EC_comparison[[#This Row],[Genitalium]]),ISBLANK(EC_comparison[[#This Row],[Minesweeper]]),ISBLANK(EC_comparison[[#This Row],[Pneumoniae]]))</f>
        <v>1</v>
      </c>
      <c r="H9" t="b">
        <f>AND(NOT(ISBLANK(EC_comparison[[#This Row],[Genitalium]])),ISBLANK(EC_comparison[[#This Row],[Aureus]]),ISBLANK(EC_comparison[[#This Row],[Minesweeper]]),ISBLANK(EC_comparison[[#This Row],[Pneumoniae]]))</f>
        <v>0</v>
      </c>
      <c r="I9" t="b">
        <f>AND(NOT(ISBLANK(EC_comparison[[#This Row],[Minesweeper]])),ISBLANK(EC_comparison[[#This Row],[Aureus]]),ISBLANK(EC_comparison[[#This Row],[Genitalium]]),ISBLANK(EC_comparison[[#This Row],[Pneumoniae]]))</f>
        <v>0</v>
      </c>
      <c r="J9" t="b">
        <f>AND(NOT(ISBLANK(EC_comparison[[#This Row],[Pneumoniae]])),ISBLANK(EC_comparison[[#This Row],[Aureus]]),ISBLANK(EC_comparison[[#This Row],[Genitalium]]),ISBLANK(EC_comparison[[#This Row],[Minesweeper]]))</f>
        <v>0</v>
      </c>
      <c r="L9" t="s">
        <v>17</v>
      </c>
      <c r="M9" t="s">
        <v>149</v>
      </c>
      <c r="N9" t="s">
        <v>81</v>
      </c>
    </row>
    <row r="10" spans="1:17" x14ac:dyDescent="0.25">
      <c r="A10" t="s">
        <v>24</v>
      </c>
      <c r="B10" t="s">
        <v>24</v>
      </c>
      <c r="C10" t="s">
        <v>24</v>
      </c>
      <c r="E10" t="b">
        <f t="shared" si="0"/>
        <v>0</v>
      </c>
      <c r="F10" t="b">
        <f t="shared" si="1"/>
        <v>0</v>
      </c>
      <c r="G10" t="b">
        <f>AND(NOT(ISBLANK(EC_comparison[[#This Row],[Aureus]])),ISBLANK(EC_comparison[[#This Row],[Genitalium]]),ISBLANK(EC_comparison[[#This Row],[Minesweeper]]),ISBLANK(EC_comparison[[#This Row],[Pneumoniae]]))</f>
        <v>0</v>
      </c>
      <c r="H10" t="b">
        <f>AND(NOT(ISBLANK(EC_comparison[[#This Row],[Genitalium]])),ISBLANK(EC_comparison[[#This Row],[Aureus]]),ISBLANK(EC_comparison[[#This Row],[Minesweeper]]),ISBLANK(EC_comparison[[#This Row],[Pneumoniae]]))</f>
        <v>0</v>
      </c>
      <c r="I10" t="b">
        <f>AND(NOT(ISBLANK(EC_comparison[[#This Row],[Minesweeper]])),ISBLANK(EC_comparison[[#This Row],[Aureus]]),ISBLANK(EC_comparison[[#This Row],[Genitalium]]),ISBLANK(EC_comparison[[#This Row],[Pneumoniae]]))</f>
        <v>0</v>
      </c>
      <c r="J10" t="b">
        <f>AND(NOT(ISBLANK(EC_comparison[[#This Row],[Pneumoniae]])),ISBLANK(EC_comparison[[#This Row],[Aureus]]),ISBLANK(EC_comparison[[#This Row],[Genitalium]]),ISBLANK(EC_comparison[[#This Row],[Minesweeper]]))</f>
        <v>0</v>
      </c>
      <c r="L10" t="s">
        <v>0</v>
      </c>
      <c r="M10" t="s">
        <v>10</v>
      </c>
      <c r="N10" t="s">
        <v>37</v>
      </c>
    </row>
    <row r="11" spans="1:17" x14ac:dyDescent="0.25">
      <c r="A11" t="s">
        <v>42</v>
      </c>
      <c r="D11" t="s">
        <v>42</v>
      </c>
      <c r="E11" t="b">
        <f t="shared" si="0"/>
        <v>0</v>
      </c>
      <c r="F11" t="b">
        <f t="shared" si="1"/>
        <v>0</v>
      </c>
      <c r="G11" t="b">
        <f>AND(NOT(ISBLANK(EC_comparison[[#This Row],[Aureus]])),ISBLANK(EC_comparison[[#This Row],[Genitalium]]),ISBLANK(EC_comparison[[#This Row],[Minesweeper]]),ISBLANK(EC_comparison[[#This Row],[Pneumoniae]]))</f>
        <v>0</v>
      </c>
      <c r="H11" t="b">
        <f>AND(NOT(ISBLANK(EC_comparison[[#This Row],[Genitalium]])),ISBLANK(EC_comparison[[#This Row],[Aureus]]),ISBLANK(EC_comparison[[#This Row],[Minesweeper]]),ISBLANK(EC_comparison[[#This Row],[Pneumoniae]]))</f>
        <v>0</v>
      </c>
      <c r="I11" t="b">
        <f>AND(NOT(ISBLANK(EC_comparison[[#This Row],[Minesweeper]])),ISBLANK(EC_comparison[[#This Row],[Aureus]]),ISBLANK(EC_comparison[[#This Row],[Genitalium]]),ISBLANK(EC_comparison[[#This Row],[Pneumoniae]]))</f>
        <v>0</v>
      </c>
      <c r="J11" t="b">
        <f>AND(NOT(ISBLANK(EC_comparison[[#This Row],[Pneumoniae]])),ISBLANK(EC_comparison[[#This Row],[Aureus]]),ISBLANK(EC_comparison[[#This Row],[Genitalium]]),ISBLANK(EC_comparison[[#This Row],[Minesweeper]]))</f>
        <v>0</v>
      </c>
      <c r="L11" t="s">
        <v>41</v>
      </c>
      <c r="M11" t="s">
        <v>128</v>
      </c>
      <c r="N11" t="s">
        <v>25</v>
      </c>
    </row>
    <row r="12" spans="1:17" x14ac:dyDescent="0.25">
      <c r="B12" t="s">
        <v>166</v>
      </c>
      <c r="C12" t="s">
        <v>166</v>
      </c>
      <c r="E12" t="b">
        <f t="shared" si="0"/>
        <v>0</v>
      </c>
      <c r="F12" t="b">
        <f t="shared" si="1"/>
        <v>0</v>
      </c>
      <c r="G12" t="b">
        <f>AND(NOT(ISBLANK(EC_comparison[[#This Row],[Aureus]])),ISBLANK(EC_comparison[[#This Row],[Genitalium]]),ISBLANK(EC_comparison[[#This Row],[Minesweeper]]),ISBLANK(EC_comparison[[#This Row],[Pneumoniae]]))</f>
        <v>0</v>
      </c>
      <c r="H12" t="b">
        <f>AND(NOT(ISBLANK(EC_comparison[[#This Row],[Genitalium]])),ISBLANK(EC_comparison[[#This Row],[Aureus]]),ISBLANK(EC_comparison[[#This Row],[Minesweeper]]),ISBLANK(EC_comparison[[#This Row],[Pneumoniae]]))</f>
        <v>0</v>
      </c>
      <c r="I12" t="b">
        <f>AND(NOT(ISBLANK(EC_comparison[[#This Row],[Minesweeper]])),ISBLANK(EC_comparison[[#This Row],[Aureus]]),ISBLANK(EC_comparison[[#This Row],[Genitalium]]),ISBLANK(EC_comparison[[#This Row],[Pneumoniae]]))</f>
        <v>0</v>
      </c>
      <c r="J12" t="b">
        <f>AND(NOT(ISBLANK(EC_comparison[[#This Row],[Pneumoniae]])),ISBLANK(EC_comparison[[#This Row],[Aureus]]),ISBLANK(EC_comparison[[#This Row],[Genitalium]]),ISBLANK(EC_comparison[[#This Row],[Minesweeper]]))</f>
        <v>0</v>
      </c>
      <c r="L12" t="s">
        <v>114</v>
      </c>
      <c r="M12" t="s">
        <v>135</v>
      </c>
      <c r="N12" t="s">
        <v>47</v>
      </c>
    </row>
    <row r="13" spans="1:17" x14ac:dyDescent="0.25">
      <c r="A13" t="s">
        <v>81</v>
      </c>
      <c r="E13" t="b">
        <f t="shared" si="0"/>
        <v>0</v>
      </c>
      <c r="F13" t="b">
        <f t="shared" si="1"/>
        <v>0</v>
      </c>
      <c r="G13" t="b">
        <f>AND(NOT(ISBLANK(EC_comparison[[#This Row],[Aureus]])),ISBLANK(EC_comparison[[#This Row],[Genitalium]]),ISBLANK(EC_comparison[[#This Row],[Minesweeper]]),ISBLANK(EC_comparison[[#This Row],[Pneumoniae]]))</f>
        <v>1</v>
      </c>
      <c r="H13" t="b">
        <f>AND(NOT(ISBLANK(EC_comparison[[#This Row],[Genitalium]])),ISBLANK(EC_comparison[[#This Row],[Aureus]]),ISBLANK(EC_comparison[[#This Row],[Minesweeper]]),ISBLANK(EC_comparison[[#This Row],[Pneumoniae]]))</f>
        <v>0</v>
      </c>
      <c r="I13" t="b">
        <f>AND(NOT(ISBLANK(EC_comparison[[#This Row],[Minesweeper]])),ISBLANK(EC_comparison[[#This Row],[Aureus]]),ISBLANK(EC_comparison[[#This Row],[Genitalium]]),ISBLANK(EC_comparison[[#This Row],[Pneumoniae]]))</f>
        <v>0</v>
      </c>
      <c r="J13" t="b">
        <f>AND(NOT(ISBLANK(EC_comparison[[#This Row],[Pneumoniae]])),ISBLANK(EC_comparison[[#This Row],[Aureus]]),ISBLANK(EC_comparison[[#This Row],[Genitalium]]),ISBLANK(EC_comparison[[#This Row],[Minesweeper]]))</f>
        <v>0</v>
      </c>
      <c r="L13" t="s">
        <v>30</v>
      </c>
      <c r="M13" t="s">
        <v>105</v>
      </c>
      <c r="N13" t="s">
        <v>72</v>
      </c>
    </row>
    <row r="14" spans="1:17" x14ac:dyDescent="0.25">
      <c r="A14" t="s">
        <v>37</v>
      </c>
      <c r="E14" t="b">
        <f t="shared" si="0"/>
        <v>0</v>
      </c>
      <c r="F14" t="b">
        <f t="shared" si="1"/>
        <v>0</v>
      </c>
      <c r="G14" t="b">
        <f>AND(NOT(ISBLANK(EC_comparison[[#This Row],[Aureus]])),ISBLANK(EC_comparison[[#This Row],[Genitalium]]),ISBLANK(EC_comparison[[#This Row],[Minesweeper]]),ISBLANK(EC_comparison[[#This Row],[Pneumoniae]]))</f>
        <v>1</v>
      </c>
      <c r="H14" t="b">
        <f>AND(NOT(ISBLANK(EC_comparison[[#This Row],[Genitalium]])),ISBLANK(EC_comparison[[#This Row],[Aureus]]),ISBLANK(EC_comparison[[#This Row],[Minesweeper]]),ISBLANK(EC_comparison[[#This Row],[Pneumoniae]]))</f>
        <v>0</v>
      </c>
      <c r="I14" t="b">
        <f>AND(NOT(ISBLANK(EC_comparison[[#This Row],[Minesweeper]])),ISBLANK(EC_comparison[[#This Row],[Aureus]]),ISBLANK(EC_comparison[[#This Row],[Genitalium]]),ISBLANK(EC_comparison[[#This Row],[Pneumoniae]]))</f>
        <v>0</v>
      </c>
      <c r="J14" t="b">
        <f>AND(NOT(ISBLANK(EC_comparison[[#This Row],[Pneumoniae]])),ISBLANK(EC_comparison[[#This Row],[Aureus]]),ISBLANK(EC_comparison[[#This Row],[Genitalium]]),ISBLANK(EC_comparison[[#This Row],[Minesweeper]]))</f>
        <v>0</v>
      </c>
      <c r="L14" t="s">
        <v>29</v>
      </c>
      <c r="M14" t="s">
        <v>139</v>
      </c>
      <c r="N14" t="s">
        <v>51</v>
      </c>
    </row>
    <row r="15" spans="1:17" x14ac:dyDescent="0.25">
      <c r="A15" t="s">
        <v>25</v>
      </c>
      <c r="E15" t="b">
        <f t="shared" si="0"/>
        <v>0</v>
      </c>
      <c r="F15" t="b">
        <f t="shared" si="1"/>
        <v>0</v>
      </c>
      <c r="G15" t="b">
        <f>AND(NOT(ISBLANK(EC_comparison[[#This Row],[Aureus]])),ISBLANK(EC_comparison[[#This Row],[Genitalium]]),ISBLANK(EC_comparison[[#This Row],[Minesweeper]]),ISBLANK(EC_comparison[[#This Row],[Pneumoniae]]))</f>
        <v>1</v>
      </c>
      <c r="H15" t="b">
        <f>AND(NOT(ISBLANK(EC_comparison[[#This Row],[Genitalium]])),ISBLANK(EC_comparison[[#This Row],[Aureus]]),ISBLANK(EC_comparison[[#This Row],[Minesweeper]]),ISBLANK(EC_comparison[[#This Row],[Pneumoniae]]))</f>
        <v>0</v>
      </c>
      <c r="I15" t="b">
        <f>AND(NOT(ISBLANK(EC_comparison[[#This Row],[Minesweeper]])),ISBLANK(EC_comparison[[#This Row],[Aureus]]),ISBLANK(EC_comparison[[#This Row],[Genitalium]]),ISBLANK(EC_comparison[[#This Row],[Pneumoniae]]))</f>
        <v>0</v>
      </c>
      <c r="J15" t="b">
        <f>AND(NOT(ISBLANK(EC_comparison[[#This Row],[Pneumoniae]])),ISBLANK(EC_comparison[[#This Row],[Aureus]]),ISBLANK(EC_comparison[[#This Row],[Genitalium]]),ISBLANK(EC_comparison[[#This Row],[Minesweeper]]))</f>
        <v>0</v>
      </c>
      <c r="L15" t="s">
        <v>122</v>
      </c>
      <c r="M15" t="s">
        <v>130</v>
      </c>
      <c r="N15" t="s">
        <v>69</v>
      </c>
    </row>
    <row r="16" spans="1:17" x14ac:dyDescent="0.25">
      <c r="A16" t="s">
        <v>71</v>
      </c>
      <c r="B16" t="s">
        <v>71</v>
      </c>
      <c r="D16" t="s">
        <v>71</v>
      </c>
      <c r="E16" t="b">
        <f t="shared" si="0"/>
        <v>0</v>
      </c>
      <c r="F16" t="b">
        <f t="shared" si="1"/>
        <v>0</v>
      </c>
      <c r="G16" t="b">
        <f>AND(NOT(ISBLANK(EC_comparison[[#This Row],[Aureus]])),ISBLANK(EC_comparison[[#This Row],[Genitalium]]),ISBLANK(EC_comparison[[#This Row],[Minesweeper]]),ISBLANK(EC_comparison[[#This Row],[Pneumoniae]]))</f>
        <v>0</v>
      </c>
      <c r="H16" t="b">
        <f>AND(NOT(ISBLANK(EC_comparison[[#This Row],[Genitalium]])),ISBLANK(EC_comparison[[#This Row],[Aureus]]),ISBLANK(EC_comparison[[#This Row],[Minesweeper]]),ISBLANK(EC_comparison[[#This Row],[Pneumoniae]]))</f>
        <v>0</v>
      </c>
      <c r="I16" t="b">
        <f>AND(NOT(ISBLANK(EC_comparison[[#This Row],[Minesweeper]])),ISBLANK(EC_comparison[[#This Row],[Aureus]]),ISBLANK(EC_comparison[[#This Row],[Genitalium]]),ISBLANK(EC_comparison[[#This Row],[Pneumoniae]]))</f>
        <v>0</v>
      </c>
      <c r="J16" t="b">
        <f>AND(NOT(ISBLANK(EC_comparison[[#This Row],[Pneumoniae]])),ISBLANK(EC_comparison[[#This Row],[Aureus]]),ISBLANK(EC_comparison[[#This Row],[Genitalium]]),ISBLANK(EC_comparison[[#This Row],[Minesweeper]]))</f>
        <v>0</v>
      </c>
      <c r="L16" t="s">
        <v>63</v>
      </c>
      <c r="M16" t="s">
        <v>99</v>
      </c>
      <c r="N16" t="s">
        <v>126</v>
      </c>
    </row>
    <row r="17" spans="1:14" x14ac:dyDescent="0.25">
      <c r="D17" t="s">
        <v>174</v>
      </c>
      <c r="E17" t="b">
        <f t="shared" si="0"/>
        <v>0</v>
      </c>
      <c r="F17" t="b">
        <f t="shared" si="1"/>
        <v>0</v>
      </c>
      <c r="G17" t="b">
        <f>AND(NOT(ISBLANK(EC_comparison[[#This Row],[Aureus]])),ISBLANK(EC_comparison[[#This Row],[Genitalium]]),ISBLANK(EC_comparison[[#This Row],[Minesweeper]]),ISBLANK(EC_comparison[[#This Row],[Pneumoniae]]))</f>
        <v>0</v>
      </c>
      <c r="H17" t="b">
        <f>AND(NOT(ISBLANK(EC_comparison[[#This Row],[Genitalium]])),ISBLANK(EC_comparison[[#This Row],[Aureus]]),ISBLANK(EC_comparison[[#This Row],[Minesweeper]]),ISBLANK(EC_comparison[[#This Row],[Pneumoniae]]))</f>
        <v>0</v>
      </c>
      <c r="I17" t="b">
        <f>AND(NOT(ISBLANK(EC_comparison[[#This Row],[Minesweeper]])),ISBLANK(EC_comparison[[#This Row],[Aureus]]),ISBLANK(EC_comparison[[#This Row],[Genitalium]]),ISBLANK(EC_comparison[[#This Row],[Pneumoniae]]))</f>
        <v>0</v>
      </c>
      <c r="J17" t="b">
        <f>AND(NOT(ISBLANK(EC_comparison[[#This Row],[Pneumoniae]])),ISBLANK(EC_comparison[[#This Row],[Aureus]]),ISBLANK(EC_comparison[[#This Row],[Genitalium]]),ISBLANK(EC_comparison[[#This Row],[Minesweeper]]))</f>
        <v>1</v>
      </c>
      <c r="L17" t="s">
        <v>102</v>
      </c>
      <c r="M17" t="s">
        <v>161</v>
      </c>
      <c r="N17" t="s">
        <v>127</v>
      </c>
    </row>
    <row r="18" spans="1:14" x14ac:dyDescent="0.25">
      <c r="A18" t="s">
        <v>43</v>
      </c>
      <c r="B18" t="s">
        <v>43</v>
      </c>
      <c r="C18" t="s">
        <v>43</v>
      </c>
      <c r="E18" t="b">
        <f t="shared" si="0"/>
        <v>0</v>
      </c>
      <c r="F18" t="b">
        <f t="shared" si="1"/>
        <v>0</v>
      </c>
      <c r="G18" t="b">
        <f>AND(NOT(ISBLANK(EC_comparison[[#This Row],[Aureus]])),ISBLANK(EC_comparison[[#This Row],[Genitalium]]),ISBLANK(EC_comparison[[#This Row],[Minesweeper]]),ISBLANK(EC_comparison[[#This Row],[Pneumoniae]]))</f>
        <v>0</v>
      </c>
      <c r="H18" t="b">
        <f>AND(NOT(ISBLANK(EC_comparison[[#This Row],[Genitalium]])),ISBLANK(EC_comparison[[#This Row],[Aureus]]),ISBLANK(EC_comparison[[#This Row],[Minesweeper]]),ISBLANK(EC_comparison[[#This Row],[Pneumoniae]]))</f>
        <v>0</v>
      </c>
      <c r="I18" t="b">
        <f>AND(NOT(ISBLANK(EC_comparison[[#This Row],[Minesweeper]])),ISBLANK(EC_comparison[[#This Row],[Aureus]]),ISBLANK(EC_comparison[[#This Row],[Genitalium]]),ISBLANK(EC_comparison[[#This Row],[Pneumoniae]]))</f>
        <v>0</v>
      </c>
      <c r="J18" t="b">
        <f>AND(NOT(ISBLANK(EC_comparison[[#This Row],[Pneumoniae]])),ISBLANK(EC_comparison[[#This Row],[Aureus]]),ISBLANK(EC_comparison[[#This Row],[Genitalium]]),ISBLANK(EC_comparison[[#This Row],[Minesweeper]]))</f>
        <v>0</v>
      </c>
      <c r="L18" t="s">
        <v>6</v>
      </c>
      <c r="M18" t="s">
        <v>162</v>
      </c>
      <c r="N18" t="s">
        <v>59</v>
      </c>
    </row>
    <row r="19" spans="1:14" x14ac:dyDescent="0.25">
      <c r="A19" t="s">
        <v>27</v>
      </c>
      <c r="B19" t="s">
        <v>27</v>
      </c>
      <c r="C19" t="s">
        <v>27</v>
      </c>
      <c r="D19" t="s">
        <v>27</v>
      </c>
      <c r="E19" t="b">
        <f t="shared" si="0"/>
        <v>1</v>
      </c>
      <c r="F19" t="b">
        <f t="shared" si="1"/>
        <v>1</v>
      </c>
      <c r="G19" t="b">
        <f>AND(NOT(ISBLANK(EC_comparison[[#This Row],[Aureus]])),ISBLANK(EC_comparison[[#This Row],[Genitalium]]),ISBLANK(EC_comparison[[#This Row],[Minesweeper]]),ISBLANK(EC_comparison[[#This Row],[Pneumoniae]]))</f>
        <v>0</v>
      </c>
      <c r="H19" t="b">
        <f>AND(NOT(ISBLANK(EC_comparison[[#This Row],[Genitalium]])),ISBLANK(EC_comparison[[#This Row],[Aureus]]),ISBLANK(EC_comparison[[#This Row],[Minesweeper]]),ISBLANK(EC_comparison[[#This Row],[Pneumoniae]]))</f>
        <v>0</v>
      </c>
      <c r="I19" t="b">
        <f>AND(NOT(ISBLANK(EC_comparison[[#This Row],[Minesweeper]])),ISBLANK(EC_comparison[[#This Row],[Aureus]]),ISBLANK(EC_comparison[[#This Row],[Genitalium]]),ISBLANK(EC_comparison[[#This Row],[Pneumoniae]]))</f>
        <v>0</v>
      </c>
      <c r="J19" t="b">
        <f>AND(NOT(ISBLANK(EC_comparison[[#This Row],[Pneumoniae]])),ISBLANK(EC_comparison[[#This Row],[Aureus]]),ISBLANK(EC_comparison[[#This Row],[Genitalium]]),ISBLANK(EC_comparison[[#This Row],[Minesweeper]]))</f>
        <v>0</v>
      </c>
      <c r="L19" t="s">
        <v>1</v>
      </c>
      <c r="M19" t="s">
        <v>153</v>
      </c>
      <c r="N19" t="s">
        <v>34</v>
      </c>
    </row>
    <row r="20" spans="1:14" x14ac:dyDescent="0.25">
      <c r="C20" t="s">
        <v>171</v>
      </c>
      <c r="E20" t="b">
        <f t="shared" si="0"/>
        <v>0</v>
      </c>
      <c r="F20" t="b">
        <f t="shared" si="1"/>
        <v>0</v>
      </c>
      <c r="G20" t="b">
        <f>AND(NOT(ISBLANK(EC_comparison[[#This Row],[Aureus]])),ISBLANK(EC_comparison[[#This Row],[Genitalium]]),ISBLANK(EC_comparison[[#This Row],[Minesweeper]]),ISBLANK(EC_comparison[[#This Row],[Pneumoniae]]))</f>
        <v>0</v>
      </c>
      <c r="H20" t="b">
        <f>AND(NOT(ISBLANK(EC_comparison[[#This Row],[Genitalium]])),ISBLANK(EC_comparison[[#This Row],[Aureus]]),ISBLANK(EC_comparison[[#This Row],[Minesweeper]]),ISBLANK(EC_comparison[[#This Row],[Pneumoniae]]))</f>
        <v>0</v>
      </c>
      <c r="I20" t="b">
        <f>AND(NOT(ISBLANK(EC_comparison[[#This Row],[Minesweeper]])),ISBLANK(EC_comparison[[#This Row],[Aureus]]),ISBLANK(EC_comparison[[#This Row],[Genitalium]]),ISBLANK(EC_comparison[[#This Row],[Pneumoniae]]))</f>
        <v>1</v>
      </c>
      <c r="J20" t="b">
        <f>AND(NOT(ISBLANK(EC_comparison[[#This Row],[Pneumoniae]])),ISBLANK(EC_comparison[[#This Row],[Aureus]]),ISBLANK(EC_comparison[[#This Row],[Genitalium]]),ISBLANK(EC_comparison[[#This Row],[Minesweeper]]))</f>
        <v>0</v>
      </c>
      <c r="L20" t="s">
        <v>89</v>
      </c>
      <c r="M20" t="s">
        <v>56</v>
      </c>
      <c r="N20" t="s">
        <v>101</v>
      </c>
    </row>
    <row r="21" spans="1:14" x14ac:dyDescent="0.25">
      <c r="B21" t="s">
        <v>164</v>
      </c>
      <c r="C21" t="s">
        <v>164</v>
      </c>
      <c r="E21" t="b">
        <f t="shared" si="0"/>
        <v>0</v>
      </c>
      <c r="F21" t="b">
        <f t="shared" si="1"/>
        <v>0</v>
      </c>
      <c r="G21" t="b">
        <f>AND(NOT(ISBLANK(EC_comparison[[#This Row],[Aureus]])),ISBLANK(EC_comparison[[#This Row],[Genitalium]]),ISBLANK(EC_comparison[[#This Row],[Minesweeper]]),ISBLANK(EC_comparison[[#This Row],[Pneumoniae]]))</f>
        <v>0</v>
      </c>
      <c r="H21" t="b">
        <f>AND(NOT(ISBLANK(EC_comparison[[#This Row],[Genitalium]])),ISBLANK(EC_comparison[[#This Row],[Aureus]]),ISBLANK(EC_comparison[[#This Row],[Minesweeper]]),ISBLANK(EC_comparison[[#This Row],[Pneumoniae]]))</f>
        <v>0</v>
      </c>
      <c r="I21" t="b">
        <f>AND(NOT(ISBLANK(EC_comparison[[#This Row],[Minesweeper]])),ISBLANK(EC_comparison[[#This Row],[Aureus]]),ISBLANK(EC_comparison[[#This Row],[Genitalium]]),ISBLANK(EC_comparison[[#This Row],[Pneumoniae]]))</f>
        <v>0</v>
      </c>
      <c r="J21" t="b">
        <f>AND(NOT(ISBLANK(EC_comparison[[#This Row],[Pneumoniae]])),ISBLANK(EC_comparison[[#This Row],[Aureus]]),ISBLANK(EC_comparison[[#This Row],[Genitalium]]),ISBLANK(EC_comparison[[#This Row],[Minesweeper]]))</f>
        <v>0</v>
      </c>
      <c r="L21" t="s">
        <v>85</v>
      </c>
      <c r="M21" t="s">
        <v>5</v>
      </c>
      <c r="N21" t="s">
        <v>70</v>
      </c>
    </row>
    <row r="22" spans="1:14" x14ac:dyDescent="0.25">
      <c r="C22" t="s">
        <v>170</v>
      </c>
      <c r="E22" t="b">
        <f t="shared" si="0"/>
        <v>0</v>
      </c>
      <c r="F22" t="b">
        <f t="shared" si="1"/>
        <v>0</v>
      </c>
      <c r="G22" t="b">
        <f>AND(NOT(ISBLANK(EC_comparison[[#This Row],[Aureus]])),ISBLANK(EC_comparison[[#This Row],[Genitalium]]),ISBLANK(EC_comparison[[#This Row],[Minesweeper]]),ISBLANK(EC_comparison[[#This Row],[Pneumoniae]]))</f>
        <v>0</v>
      </c>
      <c r="H22" t="b">
        <f>AND(NOT(ISBLANK(EC_comparison[[#This Row],[Genitalium]])),ISBLANK(EC_comparison[[#This Row],[Aureus]]),ISBLANK(EC_comparison[[#This Row],[Minesweeper]]),ISBLANK(EC_comparison[[#This Row],[Pneumoniae]]))</f>
        <v>0</v>
      </c>
      <c r="I22" t="b">
        <f>AND(NOT(ISBLANK(EC_comparison[[#This Row],[Minesweeper]])),ISBLANK(EC_comparison[[#This Row],[Aureus]]),ISBLANK(EC_comparison[[#This Row],[Genitalium]]),ISBLANK(EC_comparison[[#This Row],[Pneumoniae]]))</f>
        <v>1</v>
      </c>
      <c r="J22" t="b">
        <f>AND(NOT(ISBLANK(EC_comparison[[#This Row],[Pneumoniae]])),ISBLANK(EC_comparison[[#This Row],[Aureus]]),ISBLANK(EC_comparison[[#This Row],[Genitalium]]),ISBLANK(EC_comparison[[#This Row],[Minesweeper]]))</f>
        <v>0</v>
      </c>
      <c r="L22" t="s">
        <v>66</v>
      </c>
      <c r="M22" t="s">
        <v>140</v>
      </c>
      <c r="N22" t="s">
        <v>55</v>
      </c>
    </row>
    <row r="23" spans="1:14" x14ac:dyDescent="0.25">
      <c r="C23" t="s">
        <v>173</v>
      </c>
      <c r="D23" t="s">
        <v>173</v>
      </c>
      <c r="E23" t="b">
        <f t="shared" si="0"/>
        <v>0</v>
      </c>
      <c r="F23" t="b">
        <f t="shared" si="1"/>
        <v>0</v>
      </c>
      <c r="G23" t="b">
        <f>AND(NOT(ISBLANK(EC_comparison[[#This Row],[Aureus]])),ISBLANK(EC_comparison[[#This Row],[Genitalium]]),ISBLANK(EC_comparison[[#This Row],[Minesweeper]]),ISBLANK(EC_comparison[[#This Row],[Pneumoniae]]))</f>
        <v>0</v>
      </c>
      <c r="H23" t="b">
        <f>AND(NOT(ISBLANK(EC_comparison[[#This Row],[Genitalium]])),ISBLANK(EC_comparison[[#This Row],[Aureus]]),ISBLANK(EC_comparison[[#This Row],[Minesweeper]]),ISBLANK(EC_comparison[[#This Row],[Pneumoniae]]))</f>
        <v>0</v>
      </c>
      <c r="I23" t="b">
        <f>AND(NOT(ISBLANK(EC_comparison[[#This Row],[Minesweeper]])),ISBLANK(EC_comparison[[#This Row],[Aureus]]),ISBLANK(EC_comparison[[#This Row],[Genitalium]]),ISBLANK(EC_comparison[[#This Row],[Pneumoniae]]))</f>
        <v>0</v>
      </c>
      <c r="J23" t="b">
        <f>AND(NOT(ISBLANK(EC_comparison[[#This Row],[Pneumoniae]])),ISBLANK(EC_comparison[[#This Row],[Aureus]]),ISBLANK(EC_comparison[[#This Row],[Genitalium]]),ISBLANK(EC_comparison[[#This Row],[Minesweeper]]))</f>
        <v>0</v>
      </c>
      <c r="L23" t="s">
        <v>16</v>
      </c>
      <c r="M23" t="s">
        <v>17</v>
      </c>
      <c r="N23" t="s">
        <v>11</v>
      </c>
    </row>
    <row r="24" spans="1:14" x14ac:dyDescent="0.25">
      <c r="A24" t="s">
        <v>47</v>
      </c>
      <c r="E24" t="b">
        <f t="shared" si="0"/>
        <v>0</v>
      </c>
      <c r="F24" t="b">
        <f t="shared" si="1"/>
        <v>0</v>
      </c>
      <c r="G24" t="b">
        <f>AND(NOT(ISBLANK(EC_comparison[[#This Row],[Aureus]])),ISBLANK(EC_comparison[[#This Row],[Genitalium]]),ISBLANK(EC_comparison[[#This Row],[Minesweeper]]),ISBLANK(EC_comparison[[#This Row],[Pneumoniae]]))</f>
        <v>1</v>
      </c>
      <c r="H24" t="b">
        <f>AND(NOT(ISBLANK(EC_comparison[[#This Row],[Genitalium]])),ISBLANK(EC_comparison[[#This Row],[Aureus]]),ISBLANK(EC_comparison[[#This Row],[Minesweeper]]),ISBLANK(EC_comparison[[#This Row],[Pneumoniae]]))</f>
        <v>0</v>
      </c>
      <c r="I24" t="b">
        <f>AND(NOT(ISBLANK(EC_comparison[[#This Row],[Minesweeper]])),ISBLANK(EC_comparison[[#This Row],[Aureus]]),ISBLANK(EC_comparison[[#This Row],[Genitalium]]),ISBLANK(EC_comparison[[#This Row],[Pneumoniae]]))</f>
        <v>0</v>
      </c>
      <c r="J24" t="b">
        <f>AND(NOT(ISBLANK(EC_comparison[[#This Row],[Pneumoniae]])),ISBLANK(EC_comparison[[#This Row],[Aureus]]),ISBLANK(EC_comparison[[#This Row],[Genitalium]]),ISBLANK(EC_comparison[[#This Row],[Minesweeper]]))</f>
        <v>0</v>
      </c>
      <c r="L24" t="s">
        <v>15</v>
      </c>
      <c r="M24" t="s">
        <v>0</v>
      </c>
      <c r="N24" t="s">
        <v>74</v>
      </c>
    </row>
    <row r="25" spans="1:14" x14ac:dyDescent="0.25">
      <c r="C25" t="s">
        <v>167</v>
      </c>
      <c r="D25" t="s">
        <v>167</v>
      </c>
      <c r="E25" t="b">
        <f t="shared" si="0"/>
        <v>0</v>
      </c>
      <c r="F25" t="b">
        <f t="shared" si="1"/>
        <v>0</v>
      </c>
      <c r="G25" t="b">
        <f>AND(NOT(ISBLANK(EC_comparison[[#This Row],[Aureus]])),ISBLANK(EC_comparison[[#This Row],[Genitalium]]),ISBLANK(EC_comparison[[#This Row],[Minesweeper]]),ISBLANK(EC_comparison[[#This Row],[Pneumoniae]]))</f>
        <v>0</v>
      </c>
      <c r="H25" t="b">
        <f>AND(NOT(ISBLANK(EC_comparison[[#This Row],[Genitalium]])),ISBLANK(EC_comparison[[#This Row],[Aureus]]),ISBLANK(EC_comparison[[#This Row],[Minesweeper]]),ISBLANK(EC_comparison[[#This Row],[Pneumoniae]]))</f>
        <v>0</v>
      </c>
      <c r="I25" t="b">
        <f>AND(NOT(ISBLANK(EC_comparison[[#This Row],[Minesweeper]])),ISBLANK(EC_comparison[[#This Row],[Aureus]]),ISBLANK(EC_comparison[[#This Row],[Genitalium]]),ISBLANK(EC_comparison[[#This Row],[Pneumoniae]]))</f>
        <v>0</v>
      </c>
      <c r="J25" t="b">
        <f>AND(NOT(ISBLANK(EC_comparison[[#This Row],[Pneumoniae]])),ISBLANK(EC_comparison[[#This Row],[Aureus]]),ISBLANK(EC_comparison[[#This Row],[Genitalium]]),ISBLANK(EC_comparison[[#This Row],[Minesweeper]]))</f>
        <v>0</v>
      </c>
      <c r="L25" t="s">
        <v>22</v>
      </c>
      <c r="M25" t="s">
        <v>165</v>
      </c>
      <c r="N25" t="s">
        <v>65</v>
      </c>
    </row>
    <row r="26" spans="1:14" x14ac:dyDescent="0.25">
      <c r="B26" t="s">
        <v>142</v>
      </c>
      <c r="C26" t="s">
        <v>142</v>
      </c>
      <c r="E26" t="b">
        <f t="shared" si="0"/>
        <v>0</v>
      </c>
      <c r="F26" t="b">
        <f t="shared" si="1"/>
        <v>0</v>
      </c>
      <c r="G26" t="b">
        <f>AND(NOT(ISBLANK(EC_comparison[[#This Row],[Aureus]])),ISBLANK(EC_comparison[[#This Row],[Genitalium]]),ISBLANK(EC_comparison[[#This Row],[Minesweeper]]),ISBLANK(EC_comparison[[#This Row],[Pneumoniae]]))</f>
        <v>0</v>
      </c>
      <c r="H26" t="b">
        <f>AND(NOT(ISBLANK(EC_comparison[[#This Row],[Genitalium]])),ISBLANK(EC_comparison[[#This Row],[Aureus]]),ISBLANK(EC_comparison[[#This Row],[Minesweeper]]),ISBLANK(EC_comparison[[#This Row],[Pneumoniae]]))</f>
        <v>0</v>
      </c>
      <c r="I26" t="b">
        <f>AND(NOT(ISBLANK(EC_comparison[[#This Row],[Minesweeper]])),ISBLANK(EC_comparison[[#This Row],[Aureus]]),ISBLANK(EC_comparison[[#This Row],[Genitalium]]),ISBLANK(EC_comparison[[#This Row],[Pneumoniae]]))</f>
        <v>0</v>
      </c>
      <c r="J26" t="b">
        <f>AND(NOT(ISBLANK(EC_comparison[[#This Row],[Pneumoniae]])),ISBLANK(EC_comparison[[#This Row],[Aureus]]),ISBLANK(EC_comparison[[#This Row],[Genitalium]]),ISBLANK(EC_comparison[[#This Row],[Minesweeper]]))</f>
        <v>0</v>
      </c>
      <c r="L26" t="s">
        <v>35</v>
      </c>
      <c r="M26" t="s">
        <v>150</v>
      </c>
      <c r="N26" t="s">
        <v>96</v>
      </c>
    </row>
    <row r="27" spans="1:14" x14ac:dyDescent="0.25">
      <c r="C27" t="s">
        <v>169</v>
      </c>
      <c r="E27" t="b">
        <f t="shared" si="0"/>
        <v>0</v>
      </c>
      <c r="F27" t="b">
        <f t="shared" si="1"/>
        <v>0</v>
      </c>
      <c r="G27" t="b">
        <f>AND(NOT(ISBLANK(EC_comparison[[#This Row],[Aureus]])),ISBLANK(EC_comparison[[#This Row],[Genitalium]]),ISBLANK(EC_comparison[[#This Row],[Minesweeper]]),ISBLANK(EC_comparison[[#This Row],[Pneumoniae]]))</f>
        <v>0</v>
      </c>
      <c r="H27" t="b">
        <f>AND(NOT(ISBLANK(EC_comparison[[#This Row],[Genitalium]])),ISBLANK(EC_comparison[[#This Row],[Aureus]]),ISBLANK(EC_comparison[[#This Row],[Minesweeper]]),ISBLANK(EC_comparison[[#This Row],[Pneumoniae]]))</f>
        <v>0</v>
      </c>
      <c r="I27" t="b">
        <f>AND(NOT(ISBLANK(EC_comparison[[#This Row],[Minesweeper]])),ISBLANK(EC_comparison[[#This Row],[Aureus]]),ISBLANK(EC_comparison[[#This Row],[Genitalium]]),ISBLANK(EC_comparison[[#This Row],[Pneumoniae]]))</f>
        <v>1</v>
      </c>
      <c r="J27" t="b">
        <f>AND(NOT(ISBLANK(EC_comparison[[#This Row],[Pneumoniae]])),ISBLANK(EC_comparison[[#This Row],[Aureus]]),ISBLANK(EC_comparison[[#This Row],[Genitalium]]),ISBLANK(EC_comparison[[#This Row],[Minesweeper]]))</f>
        <v>0</v>
      </c>
      <c r="L27" t="s">
        <v>45</v>
      </c>
      <c r="M27" t="s">
        <v>152</v>
      </c>
      <c r="N27" t="s">
        <v>113</v>
      </c>
    </row>
    <row r="28" spans="1:14" x14ac:dyDescent="0.25">
      <c r="B28" t="s">
        <v>163</v>
      </c>
      <c r="C28" t="s">
        <v>163</v>
      </c>
      <c r="D28" t="s">
        <v>163</v>
      </c>
      <c r="E28" t="b">
        <f t="shared" si="0"/>
        <v>0</v>
      </c>
      <c r="F28" t="b">
        <f t="shared" si="1"/>
        <v>1</v>
      </c>
      <c r="G28" t="b">
        <f>AND(NOT(ISBLANK(EC_comparison[[#This Row],[Aureus]])),ISBLANK(EC_comparison[[#This Row],[Genitalium]]),ISBLANK(EC_comparison[[#This Row],[Minesweeper]]),ISBLANK(EC_comparison[[#This Row],[Pneumoniae]]))</f>
        <v>0</v>
      </c>
      <c r="H28" t="b">
        <f>AND(NOT(ISBLANK(EC_comparison[[#This Row],[Genitalium]])),ISBLANK(EC_comparison[[#This Row],[Aureus]]),ISBLANK(EC_comparison[[#This Row],[Minesweeper]]),ISBLANK(EC_comparison[[#This Row],[Pneumoniae]]))</f>
        <v>0</v>
      </c>
      <c r="I28" t="b">
        <f>AND(NOT(ISBLANK(EC_comparison[[#This Row],[Minesweeper]])),ISBLANK(EC_comparison[[#This Row],[Aureus]]),ISBLANK(EC_comparison[[#This Row],[Genitalium]]),ISBLANK(EC_comparison[[#This Row],[Pneumoniae]]))</f>
        <v>0</v>
      </c>
      <c r="J28" t="b">
        <f>AND(NOT(ISBLANK(EC_comparison[[#This Row],[Pneumoniae]])),ISBLANK(EC_comparison[[#This Row],[Aureus]]),ISBLANK(EC_comparison[[#This Row],[Genitalium]]),ISBLANK(EC_comparison[[#This Row],[Minesweeper]]))</f>
        <v>0</v>
      </c>
      <c r="L28" t="s">
        <v>90</v>
      </c>
      <c r="M28" t="s">
        <v>41</v>
      </c>
      <c r="N28" t="s">
        <v>117</v>
      </c>
    </row>
    <row r="29" spans="1:14" x14ac:dyDescent="0.25">
      <c r="B29" t="s">
        <v>154</v>
      </c>
      <c r="C29" t="s">
        <v>154</v>
      </c>
      <c r="E29" t="b">
        <f t="shared" si="0"/>
        <v>0</v>
      </c>
      <c r="F29" t="b">
        <f t="shared" si="1"/>
        <v>0</v>
      </c>
      <c r="G29" t="b">
        <f>AND(NOT(ISBLANK(EC_comparison[[#This Row],[Aureus]])),ISBLANK(EC_comparison[[#This Row],[Genitalium]]),ISBLANK(EC_comparison[[#This Row],[Minesweeper]]),ISBLANK(EC_comparison[[#This Row],[Pneumoniae]]))</f>
        <v>0</v>
      </c>
      <c r="H29" t="b">
        <f>AND(NOT(ISBLANK(EC_comparison[[#This Row],[Genitalium]])),ISBLANK(EC_comparison[[#This Row],[Aureus]]),ISBLANK(EC_comparison[[#This Row],[Minesweeper]]),ISBLANK(EC_comparison[[#This Row],[Pneumoniae]]))</f>
        <v>0</v>
      </c>
      <c r="I29" t="b">
        <f>AND(NOT(ISBLANK(EC_comparison[[#This Row],[Minesweeper]])),ISBLANK(EC_comparison[[#This Row],[Aureus]]),ISBLANK(EC_comparison[[#This Row],[Genitalium]]),ISBLANK(EC_comparison[[#This Row],[Pneumoniae]]))</f>
        <v>0</v>
      </c>
      <c r="J29" t="b">
        <f>AND(NOT(ISBLANK(EC_comparison[[#This Row],[Pneumoniae]])),ISBLANK(EC_comparison[[#This Row],[Aureus]]),ISBLANK(EC_comparison[[#This Row],[Genitalium]]),ISBLANK(EC_comparison[[#This Row],[Minesweeper]]))</f>
        <v>0</v>
      </c>
      <c r="L29" t="s">
        <v>97</v>
      </c>
      <c r="M29" t="s">
        <v>114</v>
      </c>
      <c r="N29" t="s">
        <v>116</v>
      </c>
    </row>
    <row r="30" spans="1:14" x14ac:dyDescent="0.25">
      <c r="A30" t="s">
        <v>72</v>
      </c>
      <c r="E30" t="b">
        <f t="shared" si="0"/>
        <v>0</v>
      </c>
      <c r="F30" t="b">
        <f t="shared" si="1"/>
        <v>0</v>
      </c>
      <c r="G30" t="b">
        <f>AND(NOT(ISBLANK(EC_comparison[[#This Row],[Aureus]])),ISBLANK(EC_comparison[[#This Row],[Genitalium]]),ISBLANK(EC_comparison[[#This Row],[Minesweeper]]),ISBLANK(EC_comparison[[#This Row],[Pneumoniae]]))</f>
        <v>1</v>
      </c>
      <c r="H30" t="b">
        <f>AND(NOT(ISBLANK(EC_comparison[[#This Row],[Genitalium]])),ISBLANK(EC_comparison[[#This Row],[Aureus]]),ISBLANK(EC_comparison[[#This Row],[Minesweeper]]),ISBLANK(EC_comparison[[#This Row],[Pneumoniae]]))</f>
        <v>0</v>
      </c>
      <c r="I30" t="b">
        <f>AND(NOT(ISBLANK(EC_comparison[[#This Row],[Minesweeper]])),ISBLANK(EC_comparison[[#This Row],[Aureus]]),ISBLANK(EC_comparison[[#This Row],[Genitalium]]),ISBLANK(EC_comparison[[#This Row],[Pneumoniae]]))</f>
        <v>0</v>
      </c>
      <c r="J30" t="b">
        <f>AND(NOT(ISBLANK(EC_comparison[[#This Row],[Pneumoniae]])),ISBLANK(EC_comparison[[#This Row],[Aureus]]),ISBLANK(EC_comparison[[#This Row],[Genitalium]]),ISBLANK(EC_comparison[[#This Row],[Minesweeper]]))</f>
        <v>0</v>
      </c>
      <c r="L30" t="s">
        <v>104</v>
      </c>
      <c r="M30" t="s">
        <v>133</v>
      </c>
      <c r="N30" t="s">
        <v>83</v>
      </c>
    </row>
    <row r="31" spans="1:14" x14ac:dyDescent="0.25">
      <c r="B31" t="s">
        <v>159</v>
      </c>
      <c r="D31" t="s">
        <v>159</v>
      </c>
      <c r="E31" t="b">
        <f t="shared" si="0"/>
        <v>0</v>
      </c>
      <c r="F31" t="b">
        <f t="shared" si="1"/>
        <v>0</v>
      </c>
      <c r="G31" t="b">
        <f>AND(NOT(ISBLANK(EC_comparison[[#This Row],[Aureus]])),ISBLANK(EC_comparison[[#This Row],[Genitalium]]),ISBLANK(EC_comparison[[#This Row],[Minesweeper]]),ISBLANK(EC_comparison[[#This Row],[Pneumoniae]]))</f>
        <v>0</v>
      </c>
      <c r="H31" t="b">
        <f>AND(NOT(ISBLANK(EC_comparison[[#This Row],[Genitalium]])),ISBLANK(EC_comparison[[#This Row],[Aureus]]),ISBLANK(EC_comparison[[#This Row],[Minesweeper]]),ISBLANK(EC_comparison[[#This Row],[Pneumoniae]]))</f>
        <v>0</v>
      </c>
      <c r="I31" t="b">
        <f>AND(NOT(ISBLANK(EC_comparison[[#This Row],[Minesweeper]])),ISBLANK(EC_comparison[[#This Row],[Aureus]]),ISBLANK(EC_comparison[[#This Row],[Genitalium]]),ISBLANK(EC_comparison[[#This Row],[Pneumoniae]]))</f>
        <v>0</v>
      </c>
      <c r="J31" t="b">
        <f>AND(NOT(ISBLANK(EC_comparison[[#This Row],[Pneumoniae]])),ISBLANK(EC_comparison[[#This Row],[Aureus]]),ISBLANK(EC_comparison[[#This Row],[Genitalium]]),ISBLANK(EC_comparison[[#This Row],[Minesweeper]]))</f>
        <v>0</v>
      </c>
      <c r="L31" t="s">
        <v>50</v>
      </c>
      <c r="M31" t="s">
        <v>30</v>
      </c>
      <c r="N31" t="s">
        <v>28</v>
      </c>
    </row>
    <row r="32" spans="1:14" x14ac:dyDescent="0.25">
      <c r="A32" t="s">
        <v>57</v>
      </c>
      <c r="B32" t="s">
        <v>57</v>
      </c>
      <c r="C32" t="s">
        <v>57</v>
      </c>
      <c r="D32" t="s">
        <v>57</v>
      </c>
      <c r="E32" t="b">
        <f t="shared" si="0"/>
        <v>1</v>
      </c>
      <c r="F32" t="b">
        <f t="shared" si="1"/>
        <v>1</v>
      </c>
      <c r="G32" t="b">
        <f>AND(NOT(ISBLANK(EC_comparison[[#This Row],[Aureus]])),ISBLANK(EC_comparison[[#This Row],[Genitalium]]),ISBLANK(EC_comparison[[#This Row],[Minesweeper]]),ISBLANK(EC_comparison[[#This Row],[Pneumoniae]]))</f>
        <v>0</v>
      </c>
      <c r="H32" t="b">
        <f>AND(NOT(ISBLANK(EC_comparison[[#This Row],[Genitalium]])),ISBLANK(EC_comparison[[#This Row],[Aureus]]),ISBLANK(EC_comparison[[#This Row],[Minesweeper]]),ISBLANK(EC_comparison[[#This Row],[Pneumoniae]]))</f>
        <v>0</v>
      </c>
      <c r="I32" t="b">
        <f>AND(NOT(ISBLANK(EC_comparison[[#This Row],[Minesweeper]])),ISBLANK(EC_comparison[[#This Row],[Aureus]]),ISBLANK(EC_comparison[[#This Row],[Genitalium]]),ISBLANK(EC_comparison[[#This Row],[Pneumoniae]]))</f>
        <v>0</v>
      </c>
      <c r="J32" t="b">
        <f>AND(NOT(ISBLANK(EC_comparison[[#This Row],[Pneumoniae]])),ISBLANK(EC_comparison[[#This Row],[Aureus]]),ISBLANK(EC_comparison[[#This Row],[Genitalium]]),ISBLANK(EC_comparison[[#This Row],[Minesweeper]]))</f>
        <v>0</v>
      </c>
      <c r="L32" t="s">
        <v>14</v>
      </c>
      <c r="M32" t="s">
        <v>137</v>
      </c>
      <c r="N32" t="s">
        <v>78</v>
      </c>
    </row>
    <row r="33" spans="1:14" x14ac:dyDescent="0.25">
      <c r="A33" t="s">
        <v>51</v>
      </c>
      <c r="E33" t="b">
        <f t="shared" si="0"/>
        <v>0</v>
      </c>
      <c r="F33" t="b">
        <f t="shared" si="1"/>
        <v>0</v>
      </c>
      <c r="G33" t="b">
        <f>AND(NOT(ISBLANK(EC_comparison[[#This Row],[Aureus]])),ISBLANK(EC_comparison[[#This Row],[Genitalium]]),ISBLANK(EC_comparison[[#This Row],[Minesweeper]]),ISBLANK(EC_comparison[[#This Row],[Pneumoniae]]))</f>
        <v>1</v>
      </c>
      <c r="H33" t="b">
        <f>AND(NOT(ISBLANK(EC_comparison[[#This Row],[Genitalium]])),ISBLANK(EC_comparison[[#This Row],[Aureus]]),ISBLANK(EC_comparison[[#This Row],[Minesweeper]]),ISBLANK(EC_comparison[[#This Row],[Pneumoniae]]))</f>
        <v>0</v>
      </c>
      <c r="I33" t="b">
        <f>AND(NOT(ISBLANK(EC_comparison[[#This Row],[Minesweeper]])),ISBLANK(EC_comparison[[#This Row],[Aureus]]),ISBLANK(EC_comparison[[#This Row],[Genitalium]]),ISBLANK(EC_comparison[[#This Row],[Pneumoniae]]))</f>
        <v>0</v>
      </c>
      <c r="J33" t="b">
        <f>AND(NOT(ISBLANK(EC_comparison[[#This Row],[Pneumoniae]])),ISBLANK(EC_comparison[[#This Row],[Aureus]]),ISBLANK(EC_comparison[[#This Row],[Genitalium]]),ISBLANK(EC_comparison[[#This Row],[Minesweeper]]))</f>
        <v>0</v>
      </c>
      <c r="L33" t="s">
        <v>88</v>
      </c>
      <c r="M33" t="s">
        <v>29</v>
      </c>
      <c r="N33" t="s">
        <v>21</v>
      </c>
    </row>
    <row r="34" spans="1:14" x14ac:dyDescent="0.25">
      <c r="A34" t="s">
        <v>69</v>
      </c>
      <c r="E34" t="b">
        <f t="shared" si="0"/>
        <v>0</v>
      </c>
      <c r="F34" t="b">
        <f t="shared" si="1"/>
        <v>0</v>
      </c>
      <c r="G34" t="b">
        <f>AND(NOT(ISBLANK(EC_comparison[[#This Row],[Aureus]])),ISBLANK(EC_comparison[[#This Row],[Genitalium]]),ISBLANK(EC_comparison[[#This Row],[Minesweeper]]),ISBLANK(EC_comparison[[#This Row],[Pneumoniae]]))</f>
        <v>1</v>
      </c>
      <c r="H34" t="b">
        <f>AND(NOT(ISBLANK(EC_comparison[[#This Row],[Genitalium]])),ISBLANK(EC_comparison[[#This Row],[Aureus]]),ISBLANK(EC_comparison[[#This Row],[Minesweeper]]),ISBLANK(EC_comparison[[#This Row],[Pneumoniae]]))</f>
        <v>0</v>
      </c>
      <c r="I34" t="b">
        <f>AND(NOT(ISBLANK(EC_comparison[[#This Row],[Minesweeper]])),ISBLANK(EC_comparison[[#This Row],[Aureus]]),ISBLANK(EC_comparison[[#This Row],[Genitalium]]),ISBLANK(EC_comparison[[#This Row],[Pneumoniae]]))</f>
        <v>0</v>
      </c>
      <c r="J34" t="b">
        <f>AND(NOT(ISBLANK(EC_comparison[[#This Row],[Pneumoniae]])),ISBLANK(EC_comparison[[#This Row],[Aureus]]),ISBLANK(EC_comparison[[#This Row],[Genitalium]]),ISBLANK(EC_comparison[[#This Row],[Minesweeper]]))</f>
        <v>0</v>
      </c>
      <c r="L34" t="s">
        <v>93</v>
      </c>
      <c r="M34" t="s">
        <v>122</v>
      </c>
      <c r="N34" t="s">
        <v>121</v>
      </c>
    </row>
    <row r="35" spans="1:14" x14ac:dyDescent="0.25">
      <c r="B35" t="s">
        <v>147</v>
      </c>
      <c r="E35" t="b">
        <f t="shared" si="0"/>
        <v>0</v>
      </c>
      <c r="F35" t="b">
        <f t="shared" si="1"/>
        <v>0</v>
      </c>
      <c r="G35" t="b">
        <f>AND(NOT(ISBLANK(EC_comparison[[#This Row],[Aureus]])),ISBLANK(EC_comparison[[#This Row],[Genitalium]]),ISBLANK(EC_comparison[[#This Row],[Minesweeper]]),ISBLANK(EC_comparison[[#This Row],[Pneumoniae]]))</f>
        <v>0</v>
      </c>
      <c r="H35" t="b">
        <f>AND(NOT(ISBLANK(EC_comparison[[#This Row],[Genitalium]])),ISBLANK(EC_comparison[[#This Row],[Aureus]]),ISBLANK(EC_comparison[[#This Row],[Minesweeper]]),ISBLANK(EC_comparison[[#This Row],[Pneumoniae]]))</f>
        <v>1</v>
      </c>
      <c r="I35" t="b">
        <f>AND(NOT(ISBLANK(EC_comparison[[#This Row],[Minesweeper]])),ISBLANK(EC_comparison[[#This Row],[Aureus]]),ISBLANK(EC_comparison[[#This Row],[Genitalium]]),ISBLANK(EC_comparison[[#This Row],[Pneumoniae]]))</f>
        <v>0</v>
      </c>
      <c r="J35" t="b">
        <f>AND(NOT(ISBLANK(EC_comparison[[#This Row],[Pneumoniae]])),ISBLANK(EC_comparison[[#This Row],[Aureus]]),ISBLANK(EC_comparison[[#This Row],[Genitalium]]),ISBLANK(EC_comparison[[#This Row],[Minesweeper]]))</f>
        <v>0</v>
      </c>
      <c r="L35" t="s">
        <v>107</v>
      </c>
      <c r="M35" t="s">
        <v>63</v>
      </c>
      <c r="N35" t="s">
        <v>13</v>
      </c>
    </row>
    <row r="36" spans="1:14" x14ac:dyDescent="0.25">
      <c r="B36" t="s">
        <v>144</v>
      </c>
      <c r="C36" t="s">
        <v>144</v>
      </c>
      <c r="D36" t="s">
        <v>144</v>
      </c>
      <c r="E36" t="b">
        <f t="shared" si="0"/>
        <v>0</v>
      </c>
      <c r="F36" t="b">
        <f t="shared" si="1"/>
        <v>1</v>
      </c>
      <c r="G36" t="b">
        <f>AND(NOT(ISBLANK(EC_comparison[[#This Row],[Aureus]])),ISBLANK(EC_comparison[[#This Row],[Genitalium]]),ISBLANK(EC_comparison[[#This Row],[Minesweeper]]),ISBLANK(EC_comparison[[#This Row],[Pneumoniae]]))</f>
        <v>0</v>
      </c>
      <c r="H36" t="b">
        <f>AND(NOT(ISBLANK(EC_comparison[[#This Row],[Genitalium]])),ISBLANK(EC_comparison[[#This Row],[Aureus]]),ISBLANK(EC_comparison[[#This Row],[Minesweeper]]),ISBLANK(EC_comparison[[#This Row],[Pneumoniae]]))</f>
        <v>0</v>
      </c>
      <c r="I36" t="b">
        <f>AND(NOT(ISBLANK(EC_comparison[[#This Row],[Minesweeper]])),ISBLANK(EC_comparison[[#This Row],[Aureus]]),ISBLANK(EC_comparison[[#This Row],[Genitalium]]),ISBLANK(EC_comparison[[#This Row],[Pneumoniae]]))</f>
        <v>0</v>
      </c>
      <c r="J36" t="b">
        <f>AND(NOT(ISBLANK(EC_comparison[[#This Row],[Pneumoniae]])),ISBLANK(EC_comparison[[#This Row],[Aureus]]),ISBLANK(EC_comparison[[#This Row],[Genitalium]]),ISBLANK(EC_comparison[[#This Row],[Minesweeper]]))</f>
        <v>0</v>
      </c>
      <c r="L36" t="s">
        <v>64</v>
      </c>
      <c r="M36" t="s">
        <v>102</v>
      </c>
      <c r="N36" t="s">
        <v>91</v>
      </c>
    </row>
    <row r="37" spans="1:14" x14ac:dyDescent="0.25">
      <c r="B37" t="s">
        <v>131</v>
      </c>
      <c r="C37" t="s">
        <v>131</v>
      </c>
      <c r="D37" t="s">
        <v>131</v>
      </c>
      <c r="E37" t="b">
        <f t="shared" si="0"/>
        <v>0</v>
      </c>
      <c r="F37" t="b">
        <f t="shared" si="1"/>
        <v>1</v>
      </c>
      <c r="G37" t="b">
        <f>AND(NOT(ISBLANK(EC_comparison[[#This Row],[Aureus]])),ISBLANK(EC_comparison[[#This Row],[Genitalium]]),ISBLANK(EC_comparison[[#This Row],[Minesweeper]]),ISBLANK(EC_comparison[[#This Row],[Pneumoniae]]))</f>
        <v>0</v>
      </c>
      <c r="H37" t="b">
        <f>AND(NOT(ISBLANK(EC_comparison[[#This Row],[Genitalium]])),ISBLANK(EC_comparison[[#This Row],[Aureus]]),ISBLANK(EC_comparison[[#This Row],[Minesweeper]]),ISBLANK(EC_comparison[[#This Row],[Pneumoniae]]))</f>
        <v>0</v>
      </c>
      <c r="I37" t="b">
        <f>AND(NOT(ISBLANK(EC_comparison[[#This Row],[Minesweeper]])),ISBLANK(EC_comparison[[#This Row],[Aureus]]),ISBLANK(EC_comparison[[#This Row],[Genitalium]]),ISBLANK(EC_comparison[[#This Row],[Pneumoniae]]))</f>
        <v>0</v>
      </c>
      <c r="J37" t="b">
        <f>AND(NOT(ISBLANK(EC_comparison[[#This Row],[Pneumoniae]])),ISBLANK(EC_comparison[[#This Row],[Aureus]]),ISBLANK(EC_comparison[[#This Row],[Genitalium]]),ISBLANK(EC_comparison[[#This Row],[Minesweeper]]))</f>
        <v>0</v>
      </c>
      <c r="M37" t="s">
        <v>6</v>
      </c>
      <c r="N37" t="s">
        <v>84</v>
      </c>
    </row>
    <row r="38" spans="1:14" x14ac:dyDescent="0.25">
      <c r="A38" t="s">
        <v>126</v>
      </c>
      <c r="E38" t="b">
        <f t="shared" si="0"/>
        <v>0</v>
      </c>
      <c r="F38" t="b">
        <f t="shared" si="1"/>
        <v>0</v>
      </c>
      <c r="G38" t="b">
        <f>AND(NOT(ISBLANK(EC_comparison[[#This Row],[Aureus]])),ISBLANK(EC_comparison[[#This Row],[Genitalium]]),ISBLANK(EC_comparison[[#This Row],[Minesweeper]]),ISBLANK(EC_comparison[[#This Row],[Pneumoniae]]))</f>
        <v>1</v>
      </c>
      <c r="H38" t="b">
        <f>AND(NOT(ISBLANK(EC_comparison[[#This Row],[Genitalium]])),ISBLANK(EC_comparison[[#This Row],[Aureus]]),ISBLANK(EC_comparison[[#This Row],[Minesweeper]]),ISBLANK(EC_comparison[[#This Row],[Pneumoniae]]))</f>
        <v>0</v>
      </c>
      <c r="I38" t="b">
        <f>AND(NOT(ISBLANK(EC_comparison[[#This Row],[Minesweeper]])),ISBLANK(EC_comparison[[#This Row],[Aureus]]),ISBLANK(EC_comparison[[#This Row],[Genitalium]]),ISBLANK(EC_comparison[[#This Row],[Pneumoniae]]))</f>
        <v>0</v>
      </c>
      <c r="J38" t="b">
        <f>AND(NOT(ISBLANK(EC_comparison[[#This Row],[Pneumoniae]])),ISBLANK(EC_comparison[[#This Row],[Aureus]]),ISBLANK(EC_comparison[[#This Row],[Genitalium]]),ISBLANK(EC_comparison[[#This Row],[Minesweeper]]))</f>
        <v>0</v>
      </c>
      <c r="M38" t="s">
        <v>1</v>
      </c>
      <c r="N38" t="s">
        <v>7</v>
      </c>
    </row>
    <row r="39" spans="1:14" x14ac:dyDescent="0.25">
      <c r="A39" t="s">
        <v>127</v>
      </c>
      <c r="E39" t="b">
        <f t="shared" si="0"/>
        <v>0</v>
      </c>
      <c r="F39" t="b">
        <f t="shared" si="1"/>
        <v>0</v>
      </c>
      <c r="G39" t="b">
        <f>AND(NOT(ISBLANK(EC_comparison[[#This Row],[Aureus]])),ISBLANK(EC_comparison[[#This Row],[Genitalium]]),ISBLANK(EC_comparison[[#This Row],[Minesweeper]]),ISBLANK(EC_comparison[[#This Row],[Pneumoniae]]))</f>
        <v>1</v>
      </c>
      <c r="H39" t="b">
        <f>AND(NOT(ISBLANK(EC_comparison[[#This Row],[Genitalium]])),ISBLANK(EC_comparison[[#This Row],[Aureus]]),ISBLANK(EC_comparison[[#This Row],[Minesweeper]]),ISBLANK(EC_comparison[[#This Row],[Pneumoniae]]))</f>
        <v>0</v>
      </c>
      <c r="I39" t="b">
        <f>AND(NOT(ISBLANK(EC_comparison[[#This Row],[Minesweeper]])),ISBLANK(EC_comparison[[#This Row],[Aureus]]),ISBLANK(EC_comparison[[#This Row],[Genitalium]]),ISBLANK(EC_comparison[[#This Row],[Pneumoniae]]))</f>
        <v>0</v>
      </c>
      <c r="J39" t="b">
        <f>AND(NOT(ISBLANK(EC_comparison[[#This Row],[Pneumoniae]])),ISBLANK(EC_comparison[[#This Row],[Aureus]]),ISBLANK(EC_comparison[[#This Row],[Genitalium]]),ISBLANK(EC_comparison[[#This Row],[Minesweeper]]))</f>
        <v>0</v>
      </c>
      <c r="M39" t="s">
        <v>89</v>
      </c>
      <c r="N39" t="s">
        <v>44</v>
      </c>
    </row>
    <row r="40" spans="1:14" x14ac:dyDescent="0.25">
      <c r="B40" t="s">
        <v>156</v>
      </c>
      <c r="C40" t="s">
        <v>156</v>
      </c>
      <c r="D40" t="s">
        <v>156</v>
      </c>
      <c r="E40" t="b">
        <f t="shared" si="0"/>
        <v>0</v>
      </c>
      <c r="F40" t="b">
        <f t="shared" si="1"/>
        <v>1</v>
      </c>
      <c r="G40" t="b">
        <f>AND(NOT(ISBLANK(EC_comparison[[#This Row],[Aureus]])),ISBLANK(EC_comparison[[#This Row],[Genitalium]]),ISBLANK(EC_comparison[[#This Row],[Minesweeper]]),ISBLANK(EC_comparison[[#This Row],[Pneumoniae]]))</f>
        <v>0</v>
      </c>
      <c r="H40" t="b">
        <f>AND(NOT(ISBLANK(EC_comparison[[#This Row],[Genitalium]])),ISBLANK(EC_comparison[[#This Row],[Aureus]]),ISBLANK(EC_comparison[[#This Row],[Minesweeper]]),ISBLANK(EC_comparison[[#This Row],[Pneumoniae]]))</f>
        <v>0</v>
      </c>
      <c r="I40" t="b">
        <f>AND(NOT(ISBLANK(EC_comparison[[#This Row],[Minesweeper]])),ISBLANK(EC_comparison[[#This Row],[Aureus]]),ISBLANK(EC_comparison[[#This Row],[Genitalium]]),ISBLANK(EC_comparison[[#This Row],[Pneumoniae]]))</f>
        <v>0</v>
      </c>
      <c r="J40" t="b">
        <f>AND(NOT(ISBLANK(EC_comparison[[#This Row],[Pneumoniae]])),ISBLANK(EC_comparison[[#This Row],[Aureus]]),ISBLANK(EC_comparison[[#This Row],[Genitalium]]),ISBLANK(EC_comparison[[#This Row],[Minesweeper]]))</f>
        <v>0</v>
      </c>
      <c r="M40" t="s">
        <v>85</v>
      </c>
      <c r="N40" t="s">
        <v>23</v>
      </c>
    </row>
    <row r="41" spans="1:14" x14ac:dyDescent="0.25">
      <c r="A41" t="s">
        <v>59</v>
      </c>
      <c r="E41" t="b">
        <f t="shared" si="0"/>
        <v>0</v>
      </c>
      <c r="F41" t="b">
        <f t="shared" si="1"/>
        <v>0</v>
      </c>
      <c r="G41" t="b">
        <f>AND(NOT(ISBLANK(EC_comparison[[#This Row],[Aureus]])),ISBLANK(EC_comparison[[#This Row],[Genitalium]]),ISBLANK(EC_comparison[[#This Row],[Minesweeper]]),ISBLANK(EC_comparison[[#This Row],[Pneumoniae]]))</f>
        <v>1</v>
      </c>
      <c r="H41" t="b">
        <f>AND(NOT(ISBLANK(EC_comparison[[#This Row],[Genitalium]])),ISBLANK(EC_comparison[[#This Row],[Aureus]]),ISBLANK(EC_comparison[[#This Row],[Minesweeper]]),ISBLANK(EC_comparison[[#This Row],[Pneumoniae]]))</f>
        <v>0</v>
      </c>
      <c r="I41" t="b">
        <f>AND(NOT(ISBLANK(EC_comparison[[#This Row],[Minesweeper]])),ISBLANK(EC_comparison[[#This Row],[Aureus]]),ISBLANK(EC_comparison[[#This Row],[Genitalium]]),ISBLANK(EC_comparison[[#This Row],[Pneumoniae]]))</f>
        <v>0</v>
      </c>
      <c r="J41" t="b">
        <f>AND(NOT(ISBLANK(EC_comparison[[#This Row],[Pneumoniae]])),ISBLANK(EC_comparison[[#This Row],[Aureus]]),ISBLANK(EC_comparison[[#This Row],[Genitalium]]),ISBLANK(EC_comparison[[#This Row],[Minesweeper]]))</f>
        <v>0</v>
      </c>
      <c r="M41" t="s">
        <v>66</v>
      </c>
      <c r="N41" t="s">
        <v>2</v>
      </c>
    </row>
    <row r="42" spans="1:14" x14ac:dyDescent="0.25">
      <c r="A42" t="s">
        <v>34</v>
      </c>
      <c r="E42" t="b">
        <f t="shared" si="0"/>
        <v>0</v>
      </c>
      <c r="F42" t="b">
        <f t="shared" si="1"/>
        <v>0</v>
      </c>
      <c r="G42" t="b">
        <f>AND(NOT(ISBLANK(EC_comparison[[#This Row],[Aureus]])),ISBLANK(EC_comparison[[#This Row],[Genitalium]]),ISBLANK(EC_comparison[[#This Row],[Minesweeper]]),ISBLANK(EC_comparison[[#This Row],[Pneumoniae]]))</f>
        <v>1</v>
      </c>
      <c r="H42" t="b">
        <f>AND(NOT(ISBLANK(EC_comparison[[#This Row],[Genitalium]])),ISBLANK(EC_comparison[[#This Row],[Aureus]]),ISBLANK(EC_comparison[[#This Row],[Minesweeper]]),ISBLANK(EC_comparison[[#This Row],[Pneumoniae]]))</f>
        <v>0</v>
      </c>
      <c r="I42" t="b">
        <f>AND(NOT(ISBLANK(EC_comparison[[#This Row],[Minesweeper]])),ISBLANK(EC_comparison[[#This Row],[Aureus]]),ISBLANK(EC_comparison[[#This Row],[Genitalium]]),ISBLANK(EC_comparison[[#This Row],[Pneumoniae]]))</f>
        <v>0</v>
      </c>
      <c r="J42" t="b">
        <f>AND(NOT(ISBLANK(EC_comparison[[#This Row],[Pneumoniae]])),ISBLANK(EC_comparison[[#This Row],[Aureus]]),ISBLANK(EC_comparison[[#This Row],[Genitalium]]),ISBLANK(EC_comparison[[#This Row],[Minesweeper]]))</f>
        <v>0</v>
      </c>
      <c r="M42" t="s">
        <v>16</v>
      </c>
      <c r="N42" t="s">
        <v>48</v>
      </c>
    </row>
    <row r="43" spans="1:14" x14ac:dyDescent="0.25">
      <c r="A43" t="s">
        <v>101</v>
      </c>
      <c r="E43" t="b">
        <f t="shared" si="0"/>
        <v>0</v>
      </c>
      <c r="F43" t="b">
        <f t="shared" si="1"/>
        <v>0</v>
      </c>
      <c r="G43" t="b">
        <f>AND(NOT(ISBLANK(EC_comparison[[#This Row],[Aureus]])),ISBLANK(EC_comparison[[#This Row],[Genitalium]]),ISBLANK(EC_comparison[[#This Row],[Minesweeper]]),ISBLANK(EC_comparison[[#This Row],[Pneumoniae]]))</f>
        <v>1</v>
      </c>
      <c r="H43" t="b">
        <f>AND(NOT(ISBLANK(EC_comparison[[#This Row],[Genitalium]])),ISBLANK(EC_comparison[[#This Row],[Aureus]]),ISBLANK(EC_comparison[[#This Row],[Minesweeper]]),ISBLANK(EC_comparison[[#This Row],[Pneumoniae]]))</f>
        <v>0</v>
      </c>
      <c r="I43" t="b">
        <f>AND(NOT(ISBLANK(EC_comparison[[#This Row],[Minesweeper]])),ISBLANK(EC_comparison[[#This Row],[Aureus]]),ISBLANK(EC_comparison[[#This Row],[Genitalium]]),ISBLANK(EC_comparison[[#This Row],[Pneumoniae]]))</f>
        <v>0</v>
      </c>
      <c r="J43" t="b">
        <f>AND(NOT(ISBLANK(EC_comparison[[#This Row],[Pneumoniae]])),ISBLANK(EC_comparison[[#This Row],[Aureus]]),ISBLANK(EC_comparison[[#This Row],[Genitalium]]),ISBLANK(EC_comparison[[#This Row],[Minesweeper]]))</f>
        <v>0</v>
      </c>
      <c r="M43" t="s">
        <v>15</v>
      </c>
      <c r="N43" t="s">
        <v>52</v>
      </c>
    </row>
    <row r="44" spans="1:14" x14ac:dyDescent="0.25">
      <c r="B44" t="s">
        <v>148</v>
      </c>
      <c r="E44" t="b">
        <f t="shared" si="0"/>
        <v>0</v>
      </c>
      <c r="F44" t="b">
        <f t="shared" si="1"/>
        <v>0</v>
      </c>
      <c r="G44" t="b">
        <f>AND(NOT(ISBLANK(EC_comparison[[#This Row],[Aureus]])),ISBLANK(EC_comparison[[#This Row],[Genitalium]]),ISBLANK(EC_comparison[[#This Row],[Minesweeper]]),ISBLANK(EC_comparison[[#This Row],[Pneumoniae]]))</f>
        <v>0</v>
      </c>
      <c r="H44" t="b">
        <f>AND(NOT(ISBLANK(EC_comparison[[#This Row],[Genitalium]])),ISBLANK(EC_comparison[[#This Row],[Aureus]]),ISBLANK(EC_comparison[[#This Row],[Minesweeper]]),ISBLANK(EC_comparison[[#This Row],[Pneumoniae]]))</f>
        <v>1</v>
      </c>
      <c r="I44" t="b">
        <f>AND(NOT(ISBLANK(EC_comparison[[#This Row],[Minesweeper]])),ISBLANK(EC_comparison[[#This Row],[Aureus]]),ISBLANK(EC_comparison[[#This Row],[Genitalium]]),ISBLANK(EC_comparison[[#This Row],[Pneumoniae]]))</f>
        <v>0</v>
      </c>
      <c r="J44" t="b">
        <f>AND(NOT(ISBLANK(EC_comparison[[#This Row],[Pneumoniae]])),ISBLANK(EC_comparison[[#This Row],[Aureus]]),ISBLANK(EC_comparison[[#This Row],[Genitalium]]),ISBLANK(EC_comparison[[#This Row],[Minesweeper]]))</f>
        <v>0</v>
      </c>
      <c r="M44" t="s">
        <v>22</v>
      </c>
      <c r="N44" t="s">
        <v>119</v>
      </c>
    </row>
    <row r="45" spans="1:14" x14ac:dyDescent="0.25">
      <c r="A45" t="s">
        <v>19</v>
      </c>
      <c r="B45" t="s">
        <v>19</v>
      </c>
      <c r="C45" t="s">
        <v>19</v>
      </c>
      <c r="E45" t="b">
        <f t="shared" si="0"/>
        <v>0</v>
      </c>
      <c r="F45" t="b">
        <f t="shared" si="1"/>
        <v>0</v>
      </c>
      <c r="G45" t="b">
        <f>AND(NOT(ISBLANK(EC_comparison[[#This Row],[Aureus]])),ISBLANK(EC_comparison[[#This Row],[Genitalium]]),ISBLANK(EC_comparison[[#This Row],[Minesweeper]]),ISBLANK(EC_comparison[[#This Row],[Pneumoniae]]))</f>
        <v>0</v>
      </c>
      <c r="H45" t="b">
        <f>AND(NOT(ISBLANK(EC_comparison[[#This Row],[Genitalium]])),ISBLANK(EC_comparison[[#This Row],[Aureus]]),ISBLANK(EC_comparison[[#This Row],[Minesweeper]]),ISBLANK(EC_comparison[[#This Row],[Pneumoniae]]))</f>
        <v>0</v>
      </c>
      <c r="I45" t="b">
        <f>AND(NOT(ISBLANK(EC_comparison[[#This Row],[Minesweeper]])),ISBLANK(EC_comparison[[#This Row],[Aureus]]),ISBLANK(EC_comparison[[#This Row],[Genitalium]]),ISBLANK(EC_comparison[[#This Row],[Pneumoniae]]))</f>
        <v>0</v>
      </c>
      <c r="J45" t="b">
        <f>AND(NOT(ISBLANK(EC_comparison[[#This Row],[Pneumoniae]])),ISBLANK(EC_comparison[[#This Row],[Aureus]]),ISBLANK(EC_comparison[[#This Row],[Genitalium]]),ISBLANK(EC_comparison[[#This Row],[Minesweeper]]))</f>
        <v>0</v>
      </c>
      <c r="M45" t="s">
        <v>35</v>
      </c>
      <c r="N45" t="s">
        <v>110</v>
      </c>
    </row>
    <row r="46" spans="1:14" x14ac:dyDescent="0.25">
      <c r="A46" t="s">
        <v>70</v>
      </c>
      <c r="E46" t="b">
        <f t="shared" si="0"/>
        <v>0</v>
      </c>
      <c r="F46" t="b">
        <f t="shared" si="1"/>
        <v>0</v>
      </c>
      <c r="G46" t="b">
        <f>AND(NOT(ISBLANK(EC_comparison[[#This Row],[Aureus]])),ISBLANK(EC_comparison[[#This Row],[Genitalium]]),ISBLANK(EC_comparison[[#This Row],[Minesweeper]]),ISBLANK(EC_comparison[[#This Row],[Pneumoniae]]))</f>
        <v>1</v>
      </c>
      <c r="H46" t="b">
        <f>AND(NOT(ISBLANK(EC_comparison[[#This Row],[Genitalium]])),ISBLANK(EC_comparison[[#This Row],[Aureus]]),ISBLANK(EC_comparison[[#This Row],[Minesweeper]]),ISBLANK(EC_comparison[[#This Row],[Pneumoniae]]))</f>
        <v>0</v>
      </c>
      <c r="I46" t="b">
        <f>AND(NOT(ISBLANK(EC_comparison[[#This Row],[Minesweeper]])),ISBLANK(EC_comparison[[#This Row],[Aureus]]),ISBLANK(EC_comparison[[#This Row],[Genitalium]]),ISBLANK(EC_comparison[[#This Row],[Pneumoniae]]))</f>
        <v>0</v>
      </c>
      <c r="J46" t="b">
        <f>AND(NOT(ISBLANK(EC_comparison[[#This Row],[Pneumoniae]])),ISBLANK(EC_comparison[[#This Row],[Aureus]]),ISBLANK(EC_comparison[[#This Row],[Genitalium]]),ISBLANK(EC_comparison[[#This Row],[Minesweeper]]))</f>
        <v>0</v>
      </c>
      <c r="M46" t="s">
        <v>45</v>
      </c>
      <c r="N46" t="s">
        <v>18</v>
      </c>
    </row>
    <row r="47" spans="1:14" x14ac:dyDescent="0.25">
      <c r="B47" t="s">
        <v>132</v>
      </c>
      <c r="C47" t="s">
        <v>132</v>
      </c>
      <c r="D47" t="s">
        <v>132</v>
      </c>
      <c r="E47" t="b">
        <f t="shared" si="0"/>
        <v>0</v>
      </c>
      <c r="F47" t="b">
        <f t="shared" si="1"/>
        <v>1</v>
      </c>
      <c r="G47" t="b">
        <f>AND(NOT(ISBLANK(EC_comparison[[#This Row],[Aureus]])),ISBLANK(EC_comparison[[#This Row],[Genitalium]]),ISBLANK(EC_comparison[[#This Row],[Minesweeper]]),ISBLANK(EC_comparison[[#This Row],[Pneumoniae]]))</f>
        <v>0</v>
      </c>
      <c r="H47" t="b">
        <f>AND(NOT(ISBLANK(EC_comparison[[#This Row],[Genitalium]])),ISBLANK(EC_comparison[[#This Row],[Aureus]]),ISBLANK(EC_comparison[[#This Row],[Minesweeper]]),ISBLANK(EC_comparison[[#This Row],[Pneumoniae]]))</f>
        <v>0</v>
      </c>
      <c r="I47" t="b">
        <f>AND(NOT(ISBLANK(EC_comparison[[#This Row],[Minesweeper]])),ISBLANK(EC_comparison[[#This Row],[Aureus]]),ISBLANK(EC_comparison[[#This Row],[Genitalium]]),ISBLANK(EC_comparison[[#This Row],[Pneumoniae]]))</f>
        <v>0</v>
      </c>
      <c r="J47" t="b">
        <f>AND(NOT(ISBLANK(EC_comparison[[#This Row],[Pneumoniae]])),ISBLANK(EC_comparison[[#This Row],[Aureus]]),ISBLANK(EC_comparison[[#This Row],[Genitalium]]),ISBLANK(EC_comparison[[#This Row],[Minesweeper]]))</f>
        <v>0</v>
      </c>
      <c r="M47" t="s">
        <v>90</v>
      </c>
      <c r="N47" t="s">
        <v>54</v>
      </c>
    </row>
    <row r="48" spans="1:14" x14ac:dyDescent="0.25">
      <c r="A48" t="s">
        <v>55</v>
      </c>
      <c r="E48" t="b">
        <f t="shared" si="0"/>
        <v>0</v>
      </c>
      <c r="F48" t="b">
        <f t="shared" si="1"/>
        <v>0</v>
      </c>
      <c r="G48" t="b">
        <f>AND(NOT(ISBLANK(EC_comparison[[#This Row],[Aureus]])),ISBLANK(EC_comparison[[#This Row],[Genitalium]]),ISBLANK(EC_comparison[[#This Row],[Minesweeper]]),ISBLANK(EC_comparison[[#This Row],[Pneumoniae]]))</f>
        <v>1</v>
      </c>
      <c r="H48" t="b">
        <f>AND(NOT(ISBLANK(EC_comparison[[#This Row],[Genitalium]])),ISBLANK(EC_comparison[[#This Row],[Aureus]]),ISBLANK(EC_comparison[[#This Row],[Minesweeper]]),ISBLANK(EC_comparison[[#This Row],[Pneumoniae]]))</f>
        <v>0</v>
      </c>
      <c r="I48" t="b">
        <f>AND(NOT(ISBLANK(EC_comparison[[#This Row],[Minesweeper]])),ISBLANK(EC_comparison[[#This Row],[Aureus]]),ISBLANK(EC_comparison[[#This Row],[Genitalium]]),ISBLANK(EC_comparison[[#This Row],[Pneumoniae]]))</f>
        <v>0</v>
      </c>
      <c r="J48" t="b">
        <f>AND(NOT(ISBLANK(EC_comparison[[#This Row],[Pneumoniae]])),ISBLANK(EC_comparison[[#This Row],[Aureus]]),ISBLANK(EC_comparison[[#This Row],[Genitalium]]),ISBLANK(EC_comparison[[#This Row],[Minesweeper]]))</f>
        <v>0</v>
      </c>
      <c r="M48" t="s">
        <v>136</v>
      </c>
      <c r="N48" t="s">
        <v>20</v>
      </c>
    </row>
    <row r="49" spans="1:14" x14ac:dyDescent="0.25">
      <c r="B49" t="s">
        <v>149</v>
      </c>
      <c r="C49" t="s">
        <v>149</v>
      </c>
      <c r="D49" t="s">
        <v>149</v>
      </c>
      <c r="E49" t="b">
        <f t="shared" si="0"/>
        <v>0</v>
      </c>
      <c r="F49" t="b">
        <f t="shared" si="1"/>
        <v>1</v>
      </c>
      <c r="G49" t="b">
        <f>AND(NOT(ISBLANK(EC_comparison[[#This Row],[Aureus]])),ISBLANK(EC_comparison[[#This Row],[Genitalium]]),ISBLANK(EC_comparison[[#This Row],[Minesweeper]]),ISBLANK(EC_comparison[[#This Row],[Pneumoniae]]))</f>
        <v>0</v>
      </c>
      <c r="H49" t="b">
        <f>AND(NOT(ISBLANK(EC_comparison[[#This Row],[Genitalium]])),ISBLANK(EC_comparison[[#This Row],[Aureus]]),ISBLANK(EC_comparison[[#This Row],[Minesweeper]]),ISBLANK(EC_comparison[[#This Row],[Pneumoniae]]))</f>
        <v>0</v>
      </c>
      <c r="I49" t="b">
        <f>AND(NOT(ISBLANK(EC_comparison[[#This Row],[Minesweeper]])),ISBLANK(EC_comparison[[#This Row],[Aureus]]),ISBLANK(EC_comparison[[#This Row],[Genitalium]]),ISBLANK(EC_comparison[[#This Row],[Pneumoniae]]))</f>
        <v>0</v>
      </c>
      <c r="J49" t="b">
        <f>AND(NOT(ISBLANK(EC_comparison[[#This Row],[Pneumoniae]])),ISBLANK(EC_comparison[[#This Row],[Aureus]]),ISBLANK(EC_comparison[[#This Row],[Genitalium]]),ISBLANK(EC_comparison[[#This Row],[Minesweeper]]))</f>
        <v>0</v>
      </c>
      <c r="M49" t="s">
        <v>97</v>
      </c>
      <c r="N49" t="s">
        <v>106</v>
      </c>
    </row>
    <row r="50" spans="1:14" x14ac:dyDescent="0.25">
      <c r="A50" t="s">
        <v>10</v>
      </c>
      <c r="B50" t="s">
        <v>10</v>
      </c>
      <c r="C50" t="s">
        <v>10</v>
      </c>
      <c r="D50" t="s">
        <v>10</v>
      </c>
      <c r="E50" t="b">
        <f t="shared" si="0"/>
        <v>1</v>
      </c>
      <c r="F50" t="b">
        <f t="shared" si="1"/>
        <v>1</v>
      </c>
      <c r="G50" t="b">
        <f>AND(NOT(ISBLANK(EC_comparison[[#This Row],[Aureus]])),ISBLANK(EC_comparison[[#This Row],[Genitalium]]),ISBLANK(EC_comparison[[#This Row],[Minesweeper]]),ISBLANK(EC_comparison[[#This Row],[Pneumoniae]]))</f>
        <v>0</v>
      </c>
      <c r="H50" t="b">
        <f>AND(NOT(ISBLANK(EC_comparison[[#This Row],[Genitalium]])),ISBLANK(EC_comparison[[#This Row],[Aureus]]),ISBLANK(EC_comparison[[#This Row],[Minesweeper]]),ISBLANK(EC_comparison[[#This Row],[Pneumoniae]]))</f>
        <v>0</v>
      </c>
      <c r="I50" t="b">
        <f>AND(NOT(ISBLANK(EC_comparison[[#This Row],[Minesweeper]])),ISBLANK(EC_comparison[[#This Row],[Aureus]]),ISBLANK(EC_comparison[[#This Row],[Genitalium]]),ISBLANK(EC_comparison[[#This Row],[Pneumoniae]]))</f>
        <v>0</v>
      </c>
      <c r="J50" t="b">
        <f>AND(NOT(ISBLANK(EC_comparison[[#This Row],[Pneumoniae]])),ISBLANK(EC_comparison[[#This Row],[Aureus]]),ISBLANK(EC_comparison[[#This Row],[Genitalium]]),ISBLANK(EC_comparison[[#This Row],[Minesweeper]]))</f>
        <v>0</v>
      </c>
      <c r="M50" t="s">
        <v>104</v>
      </c>
      <c r="N50" t="s">
        <v>39</v>
      </c>
    </row>
    <row r="51" spans="1:14" x14ac:dyDescent="0.25">
      <c r="B51" t="s">
        <v>128</v>
      </c>
      <c r="C51" t="s">
        <v>128</v>
      </c>
      <c r="D51" t="s">
        <v>128</v>
      </c>
      <c r="E51" t="b">
        <f t="shared" si="0"/>
        <v>0</v>
      </c>
      <c r="F51" t="b">
        <f t="shared" si="1"/>
        <v>1</v>
      </c>
      <c r="G51" t="b">
        <f>AND(NOT(ISBLANK(EC_comparison[[#This Row],[Aureus]])),ISBLANK(EC_comparison[[#This Row],[Genitalium]]),ISBLANK(EC_comparison[[#This Row],[Minesweeper]]),ISBLANK(EC_comparison[[#This Row],[Pneumoniae]]))</f>
        <v>0</v>
      </c>
      <c r="H51" t="b">
        <f>AND(NOT(ISBLANK(EC_comparison[[#This Row],[Genitalium]])),ISBLANK(EC_comparison[[#This Row],[Aureus]]),ISBLANK(EC_comparison[[#This Row],[Minesweeper]]),ISBLANK(EC_comparison[[#This Row],[Pneumoniae]]))</f>
        <v>0</v>
      </c>
      <c r="I51" t="b">
        <f>AND(NOT(ISBLANK(EC_comparison[[#This Row],[Minesweeper]])),ISBLANK(EC_comparison[[#This Row],[Aureus]]),ISBLANK(EC_comparison[[#This Row],[Genitalium]]),ISBLANK(EC_comparison[[#This Row],[Pneumoniae]]))</f>
        <v>0</v>
      </c>
      <c r="J51" t="b">
        <f>AND(NOT(ISBLANK(EC_comparison[[#This Row],[Pneumoniae]])),ISBLANK(EC_comparison[[#This Row],[Aureus]]),ISBLANK(EC_comparison[[#This Row],[Genitalium]]),ISBLANK(EC_comparison[[#This Row],[Minesweeper]]))</f>
        <v>0</v>
      </c>
      <c r="M51" t="s">
        <v>50</v>
      </c>
      <c r="N51" t="s">
        <v>12</v>
      </c>
    </row>
    <row r="52" spans="1:14" x14ac:dyDescent="0.25">
      <c r="B52" t="s">
        <v>135</v>
      </c>
      <c r="C52" t="s">
        <v>135</v>
      </c>
      <c r="D52" t="s">
        <v>135</v>
      </c>
      <c r="E52" t="b">
        <f t="shared" si="0"/>
        <v>0</v>
      </c>
      <c r="F52" t="b">
        <f t="shared" si="1"/>
        <v>1</v>
      </c>
      <c r="G52" t="b">
        <f>AND(NOT(ISBLANK(EC_comparison[[#This Row],[Aureus]])),ISBLANK(EC_comparison[[#This Row],[Genitalium]]),ISBLANK(EC_comparison[[#This Row],[Minesweeper]]),ISBLANK(EC_comparison[[#This Row],[Pneumoniae]]))</f>
        <v>0</v>
      </c>
      <c r="H52" t="b">
        <f>AND(NOT(ISBLANK(EC_comparison[[#This Row],[Genitalium]])),ISBLANK(EC_comparison[[#This Row],[Aureus]]),ISBLANK(EC_comparison[[#This Row],[Minesweeper]]),ISBLANK(EC_comparison[[#This Row],[Pneumoniae]]))</f>
        <v>0</v>
      </c>
      <c r="I52" t="b">
        <f>AND(NOT(ISBLANK(EC_comparison[[#This Row],[Minesweeper]])),ISBLANK(EC_comparison[[#This Row],[Aureus]]),ISBLANK(EC_comparison[[#This Row],[Genitalium]]),ISBLANK(EC_comparison[[#This Row],[Pneumoniae]]))</f>
        <v>0</v>
      </c>
      <c r="J52" t="b">
        <f>AND(NOT(ISBLANK(EC_comparison[[#This Row],[Pneumoniae]])),ISBLANK(EC_comparison[[#This Row],[Aureus]]),ISBLANK(EC_comparison[[#This Row],[Genitalium]]),ISBLANK(EC_comparison[[#This Row],[Minesweeper]]))</f>
        <v>0</v>
      </c>
      <c r="M52" t="s">
        <v>14</v>
      </c>
      <c r="N52" t="s">
        <v>40</v>
      </c>
    </row>
    <row r="53" spans="1:14" x14ac:dyDescent="0.25">
      <c r="A53" t="s">
        <v>11</v>
      </c>
      <c r="E53" t="b">
        <f t="shared" si="0"/>
        <v>0</v>
      </c>
      <c r="F53" t="b">
        <f t="shared" si="1"/>
        <v>0</v>
      </c>
      <c r="G53" t="b">
        <f>AND(NOT(ISBLANK(EC_comparison[[#This Row],[Aureus]])),ISBLANK(EC_comparison[[#This Row],[Genitalium]]),ISBLANK(EC_comparison[[#This Row],[Minesweeper]]),ISBLANK(EC_comparison[[#This Row],[Pneumoniae]]))</f>
        <v>1</v>
      </c>
      <c r="H53" t="b">
        <f>AND(NOT(ISBLANK(EC_comparison[[#This Row],[Genitalium]])),ISBLANK(EC_comparison[[#This Row],[Aureus]]),ISBLANK(EC_comparison[[#This Row],[Minesweeper]]),ISBLANK(EC_comparison[[#This Row],[Pneumoniae]]))</f>
        <v>0</v>
      </c>
      <c r="I53" t="b">
        <f>AND(NOT(ISBLANK(EC_comparison[[#This Row],[Minesweeper]])),ISBLANK(EC_comparison[[#This Row],[Aureus]]),ISBLANK(EC_comparison[[#This Row],[Genitalium]]),ISBLANK(EC_comparison[[#This Row],[Pneumoniae]]))</f>
        <v>0</v>
      </c>
      <c r="J53" t="b">
        <f>AND(NOT(ISBLANK(EC_comparison[[#This Row],[Pneumoniae]])),ISBLANK(EC_comparison[[#This Row],[Aureus]]),ISBLANK(EC_comparison[[#This Row],[Genitalium]]),ISBLANK(EC_comparison[[#This Row],[Minesweeper]]))</f>
        <v>0</v>
      </c>
      <c r="M53" t="s">
        <v>88</v>
      </c>
      <c r="N53" t="s">
        <v>31</v>
      </c>
    </row>
    <row r="54" spans="1:14" x14ac:dyDescent="0.25">
      <c r="A54" t="s">
        <v>74</v>
      </c>
      <c r="E54" t="b">
        <f t="shared" si="0"/>
        <v>0</v>
      </c>
      <c r="F54" t="b">
        <f t="shared" si="1"/>
        <v>0</v>
      </c>
      <c r="G54" t="b">
        <f>AND(NOT(ISBLANK(EC_comparison[[#This Row],[Aureus]])),ISBLANK(EC_comparison[[#This Row],[Genitalium]]),ISBLANK(EC_comparison[[#This Row],[Minesweeper]]),ISBLANK(EC_comparison[[#This Row],[Pneumoniae]]))</f>
        <v>1</v>
      </c>
      <c r="H54" t="b">
        <f>AND(NOT(ISBLANK(EC_comparison[[#This Row],[Genitalium]])),ISBLANK(EC_comparison[[#This Row],[Aureus]]),ISBLANK(EC_comparison[[#This Row],[Minesweeper]]),ISBLANK(EC_comparison[[#This Row],[Pneumoniae]]))</f>
        <v>0</v>
      </c>
      <c r="I54" t="b">
        <f>AND(NOT(ISBLANK(EC_comparison[[#This Row],[Minesweeper]])),ISBLANK(EC_comparison[[#This Row],[Aureus]]),ISBLANK(EC_comparison[[#This Row],[Genitalium]]),ISBLANK(EC_comparison[[#This Row],[Pneumoniae]]))</f>
        <v>0</v>
      </c>
      <c r="J54" t="b">
        <f>AND(NOT(ISBLANK(EC_comparison[[#This Row],[Pneumoniae]])),ISBLANK(EC_comparison[[#This Row],[Aureus]]),ISBLANK(EC_comparison[[#This Row],[Genitalium]]),ISBLANK(EC_comparison[[#This Row],[Minesweeper]]))</f>
        <v>0</v>
      </c>
      <c r="M54" t="s">
        <v>93</v>
      </c>
      <c r="N54" t="s">
        <v>94</v>
      </c>
    </row>
    <row r="55" spans="1:14" x14ac:dyDescent="0.25">
      <c r="A55" t="s">
        <v>65</v>
      </c>
      <c r="E55" t="b">
        <f t="shared" si="0"/>
        <v>0</v>
      </c>
      <c r="F55" t="b">
        <f t="shared" si="1"/>
        <v>0</v>
      </c>
      <c r="G55" t="b">
        <f>AND(NOT(ISBLANK(EC_comparison[[#This Row],[Aureus]])),ISBLANK(EC_comparison[[#This Row],[Genitalium]]),ISBLANK(EC_comparison[[#This Row],[Minesweeper]]),ISBLANK(EC_comparison[[#This Row],[Pneumoniae]]))</f>
        <v>1</v>
      </c>
      <c r="H55" t="b">
        <f>AND(NOT(ISBLANK(EC_comparison[[#This Row],[Genitalium]])),ISBLANK(EC_comparison[[#This Row],[Aureus]]),ISBLANK(EC_comparison[[#This Row],[Minesweeper]]),ISBLANK(EC_comparison[[#This Row],[Pneumoniae]]))</f>
        <v>0</v>
      </c>
      <c r="I55" t="b">
        <f>AND(NOT(ISBLANK(EC_comparison[[#This Row],[Minesweeper]])),ISBLANK(EC_comparison[[#This Row],[Aureus]]),ISBLANK(EC_comparison[[#This Row],[Genitalium]]),ISBLANK(EC_comparison[[#This Row],[Pneumoniae]]))</f>
        <v>0</v>
      </c>
      <c r="J55" t="b">
        <f>AND(NOT(ISBLANK(EC_comparison[[#This Row],[Pneumoniae]])),ISBLANK(EC_comparison[[#This Row],[Aureus]]),ISBLANK(EC_comparison[[#This Row],[Genitalium]]),ISBLANK(EC_comparison[[#This Row],[Minesweeper]]))</f>
        <v>0</v>
      </c>
      <c r="M55" t="s">
        <v>134</v>
      </c>
      <c r="N55" t="s">
        <v>95</v>
      </c>
    </row>
    <row r="56" spans="1:14" x14ac:dyDescent="0.25">
      <c r="A56" t="s">
        <v>105</v>
      </c>
      <c r="B56" t="s">
        <v>105</v>
      </c>
      <c r="C56" t="s">
        <v>105</v>
      </c>
      <c r="D56" t="s">
        <v>105</v>
      </c>
      <c r="E56" t="b">
        <f t="shared" si="0"/>
        <v>1</v>
      </c>
      <c r="F56" t="b">
        <f t="shared" si="1"/>
        <v>1</v>
      </c>
      <c r="G56" t="b">
        <f>AND(NOT(ISBLANK(EC_comparison[[#This Row],[Aureus]])),ISBLANK(EC_comparison[[#This Row],[Genitalium]]),ISBLANK(EC_comparison[[#This Row],[Minesweeper]]),ISBLANK(EC_comparison[[#This Row],[Pneumoniae]]))</f>
        <v>0</v>
      </c>
      <c r="H56" t="b">
        <f>AND(NOT(ISBLANK(EC_comparison[[#This Row],[Genitalium]])),ISBLANK(EC_comparison[[#This Row],[Aureus]]),ISBLANK(EC_comparison[[#This Row],[Minesweeper]]),ISBLANK(EC_comparison[[#This Row],[Pneumoniae]]))</f>
        <v>0</v>
      </c>
      <c r="I56" t="b">
        <f>AND(NOT(ISBLANK(EC_comparison[[#This Row],[Minesweeper]])),ISBLANK(EC_comparison[[#This Row],[Aureus]]),ISBLANK(EC_comparison[[#This Row],[Genitalium]]),ISBLANK(EC_comparison[[#This Row],[Pneumoniae]]))</f>
        <v>0</v>
      </c>
      <c r="J56" t="b">
        <f>AND(NOT(ISBLANK(EC_comparison[[#This Row],[Pneumoniae]])),ISBLANK(EC_comparison[[#This Row],[Aureus]]),ISBLANK(EC_comparison[[#This Row],[Genitalium]]),ISBLANK(EC_comparison[[#This Row],[Minesweeper]]))</f>
        <v>0</v>
      </c>
      <c r="M56" t="s">
        <v>107</v>
      </c>
      <c r="N56" t="s">
        <v>75</v>
      </c>
    </row>
    <row r="57" spans="1:14" x14ac:dyDescent="0.25">
      <c r="A57" t="s">
        <v>96</v>
      </c>
      <c r="E57" t="b">
        <f t="shared" si="0"/>
        <v>0</v>
      </c>
      <c r="F57" t="b">
        <f t="shared" si="1"/>
        <v>0</v>
      </c>
      <c r="G57" t="b">
        <f>AND(NOT(ISBLANK(EC_comparison[[#This Row],[Aureus]])),ISBLANK(EC_comparison[[#This Row],[Genitalium]]),ISBLANK(EC_comparison[[#This Row],[Minesweeper]]),ISBLANK(EC_comparison[[#This Row],[Pneumoniae]]))</f>
        <v>1</v>
      </c>
      <c r="H57" t="b">
        <f>AND(NOT(ISBLANK(EC_comparison[[#This Row],[Genitalium]])),ISBLANK(EC_comparison[[#This Row],[Aureus]]),ISBLANK(EC_comparison[[#This Row],[Minesweeper]]),ISBLANK(EC_comparison[[#This Row],[Pneumoniae]]))</f>
        <v>0</v>
      </c>
      <c r="I57" t="b">
        <f>AND(NOT(ISBLANK(EC_comparison[[#This Row],[Minesweeper]])),ISBLANK(EC_comparison[[#This Row],[Aureus]]),ISBLANK(EC_comparison[[#This Row],[Genitalium]]),ISBLANK(EC_comparison[[#This Row],[Pneumoniae]]))</f>
        <v>0</v>
      </c>
      <c r="J57" t="b">
        <f>AND(NOT(ISBLANK(EC_comparison[[#This Row],[Pneumoniae]])),ISBLANK(EC_comparison[[#This Row],[Aureus]]),ISBLANK(EC_comparison[[#This Row],[Genitalium]]),ISBLANK(EC_comparison[[#This Row],[Minesweeper]]))</f>
        <v>0</v>
      </c>
      <c r="M57" t="s">
        <v>160</v>
      </c>
      <c r="N57" t="s">
        <v>76</v>
      </c>
    </row>
    <row r="58" spans="1:14" x14ac:dyDescent="0.25">
      <c r="A58" t="s">
        <v>113</v>
      </c>
      <c r="E58" t="b">
        <f t="shared" si="0"/>
        <v>0</v>
      </c>
      <c r="F58" t="b">
        <f t="shared" si="1"/>
        <v>0</v>
      </c>
      <c r="G58" t="b">
        <f>AND(NOT(ISBLANK(EC_comparison[[#This Row],[Aureus]])),ISBLANK(EC_comparison[[#This Row],[Genitalium]]),ISBLANK(EC_comparison[[#This Row],[Minesweeper]]),ISBLANK(EC_comparison[[#This Row],[Pneumoniae]]))</f>
        <v>1</v>
      </c>
      <c r="H58" t="b">
        <f>AND(NOT(ISBLANK(EC_comparison[[#This Row],[Genitalium]])),ISBLANK(EC_comparison[[#This Row],[Aureus]]),ISBLANK(EC_comparison[[#This Row],[Minesweeper]]),ISBLANK(EC_comparison[[#This Row],[Pneumoniae]]))</f>
        <v>0</v>
      </c>
      <c r="I58" t="b">
        <f>AND(NOT(ISBLANK(EC_comparison[[#This Row],[Minesweeper]])),ISBLANK(EC_comparison[[#This Row],[Aureus]]),ISBLANK(EC_comparison[[#This Row],[Genitalium]]),ISBLANK(EC_comparison[[#This Row],[Pneumoniae]]))</f>
        <v>0</v>
      </c>
      <c r="J58" t="b">
        <f>AND(NOT(ISBLANK(EC_comparison[[#This Row],[Pneumoniae]])),ISBLANK(EC_comparison[[#This Row],[Aureus]]),ISBLANK(EC_comparison[[#This Row],[Genitalium]]),ISBLANK(EC_comparison[[#This Row],[Minesweeper]]))</f>
        <v>0</v>
      </c>
      <c r="N58" t="s">
        <v>125</v>
      </c>
    </row>
    <row r="59" spans="1:14" x14ac:dyDescent="0.25">
      <c r="A59" t="s">
        <v>117</v>
      </c>
      <c r="E59" t="b">
        <f t="shared" si="0"/>
        <v>0</v>
      </c>
      <c r="F59" t="b">
        <f t="shared" si="1"/>
        <v>0</v>
      </c>
      <c r="G59" t="b">
        <f>AND(NOT(ISBLANK(EC_comparison[[#This Row],[Aureus]])),ISBLANK(EC_comparison[[#This Row],[Genitalium]]),ISBLANK(EC_comparison[[#This Row],[Minesweeper]]),ISBLANK(EC_comparison[[#This Row],[Pneumoniae]]))</f>
        <v>1</v>
      </c>
      <c r="H59" t="b">
        <f>AND(NOT(ISBLANK(EC_comparison[[#This Row],[Genitalium]])),ISBLANK(EC_comparison[[#This Row],[Aureus]]),ISBLANK(EC_comparison[[#This Row],[Minesweeper]]),ISBLANK(EC_comparison[[#This Row],[Pneumoniae]]))</f>
        <v>0</v>
      </c>
      <c r="I59" t="b">
        <f>AND(NOT(ISBLANK(EC_comparison[[#This Row],[Minesweeper]])),ISBLANK(EC_comparison[[#This Row],[Aureus]]),ISBLANK(EC_comparison[[#This Row],[Genitalium]]),ISBLANK(EC_comparison[[#This Row],[Pneumoniae]]))</f>
        <v>0</v>
      </c>
      <c r="J59" t="b">
        <f>AND(NOT(ISBLANK(EC_comparison[[#This Row],[Pneumoniae]])),ISBLANK(EC_comparison[[#This Row],[Aureus]]),ISBLANK(EC_comparison[[#This Row],[Genitalium]]),ISBLANK(EC_comparison[[#This Row],[Minesweeper]]))</f>
        <v>0</v>
      </c>
      <c r="N59" t="s">
        <v>46</v>
      </c>
    </row>
    <row r="60" spans="1:14" x14ac:dyDescent="0.25">
      <c r="A60" t="s">
        <v>100</v>
      </c>
      <c r="B60" t="s">
        <v>100</v>
      </c>
      <c r="D60" t="s">
        <v>100</v>
      </c>
      <c r="E60" t="b">
        <f t="shared" si="0"/>
        <v>0</v>
      </c>
      <c r="F60" t="b">
        <f t="shared" si="1"/>
        <v>0</v>
      </c>
      <c r="G60" t="b">
        <f>AND(NOT(ISBLANK(EC_comparison[[#This Row],[Aureus]])),ISBLANK(EC_comparison[[#This Row],[Genitalium]]),ISBLANK(EC_comparison[[#This Row],[Minesweeper]]),ISBLANK(EC_comparison[[#This Row],[Pneumoniae]]))</f>
        <v>0</v>
      </c>
      <c r="H60" t="b">
        <f>AND(NOT(ISBLANK(EC_comparison[[#This Row],[Genitalium]])),ISBLANK(EC_comparison[[#This Row],[Aureus]]),ISBLANK(EC_comparison[[#This Row],[Minesweeper]]),ISBLANK(EC_comparison[[#This Row],[Pneumoniae]]))</f>
        <v>0</v>
      </c>
      <c r="I60" t="b">
        <f>AND(NOT(ISBLANK(EC_comparison[[#This Row],[Minesweeper]])),ISBLANK(EC_comparison[[#This Row],[Aureus]]),ISBLANK(EC_comparison[[#This Row],[Genitalium]]),ISBLANK(EC_comparison[[#This Row],[Pneumoniae]]))</f>
        <v>0</v>
      </c>
      <c r="J60" t="b">
        <f>AND(NOT(ISBLANK(EC_comparison[[#This Row],[Pneumoniae]])),ISBLANK(EC_comparison[[#This Row],[Aureus]]),ISBLANK(EC_comparison[[#This Row],[Genitalium]]),ISBLANK(EC_comparison[[#This Row],[Minesweeper]]))</f>
        <v>0</v>
      </c>
      <c r="N60" t="s">
        <v>58</v>
      </c>
    </row>
    <row r="61" spans="1:14" x14ac:dyDescent="0.25">
      <c r="B61" t="s">
        <v>129</v>
      </c>
      <c r="D61" t="s">
        <v>129</v>
      </c>
      <c r="E61" t="b">
        <f t="shared" si="0"/>
        <v>0</v>
      </c>
      <c r="F61" t="b">
        <f t="shared" si="1"/>
        <v>0</v>
      </c>
      <c r="G61" t="b">
        <f>AND(NOT(ISBLANK(EC_comparison[[#This Row],[Aureus]])),ISBLANK(EC_comparison[[#This Row],[Genitalium]]),ISBLANK(EC_comparison[[#This Row],[Minesweeper]]),ISBLANK(EC_comparison[[#This Row],[Pneumoniae]]))</f>
        <v>0</v>
      </c>
      <c r="H61" t="b">
        <f>AND(NOT(ISBLANK(EC_comparison[[#This Row],[Genitalium]])),ISBLANK(EC_comparison[[#This Row],[Aureus]]),ISBLANK(EC_comparison[[#This Row],[Minesweeper]]),ISBLANK(EC_comparison[[#This Row],[Pneumoniae]]))</f>
        <v>0</v>
      </c>
      <c r="I61" t="b">
        <f>AND(NOT(ISBLANK(EC_comparison[[#This Row],[Minesweeper]])),ISBLANK(EC_comparison[[#This Row],[Aureus]]),ISBLANK(EC_comparison[[#This Row],[Genitalium]]),ISBLANK(EC_comparison[[#This Row],[Pneumoniae]]))</f>
        <v>0</v>
      </c>
      <c r="J61" t="b">
        <f>AND(NOT(ISBLANK(EC_comparison[[#This Row],[Pneumoniae]])),ISBLANK(EC_comparison[[#This Row],[Aureus]]),ISBLANK(EC_comparison[[#This Row],[Genitalium]]),ISBLANK(EC_comparison[[#This Row],[Minesweeper]]))</f>
        <v>0</v>
      </c>
      <c r="N61" t="s">
        <v>123</v>
      </c>
    </row>
    <row r="62" spans="1:14" x14ac:dyDescent="0.25">
      <c r="A62" t="s">
        <v>36</v>
      </c>
      <c r="B62" t="s">
        <v>36</v>
      </c>
      <c r="D62" t="s">
        <v>36</v>
      </c>
      <c r="E62" t="b">
        <f t="shared" si="0"/>
        <v>0</v>
      </c>
      <c r="F62" t="b">
        <f t="shared" si="1"/>
        <v>0</v>
      </c>
      <c r="G62" t="b">
        <f>AND(NOT(ISBLANK(EC_comparison[[#This Row],[Aureus]])),ISBLANK(EC_comparison[[#This Row],[Genitalium]]),ISBLANK(EC_comparison[[#This Row],[Minesweeper]]),ISBLANK(EC_comparison[[#This Row],[Pneumoniae]]))</f>
        <v>0</v>
      </c>
      <c r="H62" t="b">
        <f>AND(NOT(ISBLANK(EC_comparison[[#This Row],[Genitalium]])),ISBLANK(EC_comparison[[#This Row],[Aureus]]),ISBLANK(EC_comparison[[#This Row],[Minesweeper]]),ISBLANK(EC_comparison[[#This Row],[Pneumoniae]]))</f>
        <v>0</v>
      </c>
      <c r="I62" t="b">
        <f>AND(NOT(ISBLANK(EC_comparison[[#This Row],[Minesweeper]])),ISBLANK(EC_comparison[[#This Row],[Aureus]]),ISBLANK(EC_comparison[[#This Row],[Genitalium]]),ISBLANK(EC_comparison[[#This Row],[Pneumoniae]]))</f>
        <v>0</v>
      </c>
      <c r="J62" t="b">
        <f>AND(NOT(ISBLANK(EC_comparison[[#This Row],[Pneumoniae]])),ISBLANK(EC_comparison[[#This Row],[Aureus]]),ISBLANK(EC_comparison[[#This Row],[Genitalium]]),ISBLANK(EC_comparison[[#This Row],[Minesweeper]]))</f>
        <v>0</v>
      </c>
      <c r="N62" t="s">
        <v>62</v>
      </c>
    </row>
    <row r="63" spans="1:14" x14ac:dyDescent="0.25">
      <c r="A63" t="s">
        <v>98</v>
      </c>
      <c r="C63" t="s">
        <v>98</v>
      </c>
      <c r="E63" t="b">
        <f t="shared" si="0"/>
        <v>0</v>
      </c>
      <c r="F63" t="b">
        <f t="shared" si="1"/>
        <v>0</v>
      </c>
      <c r="G63" t="b">
        <f>AND(NOT(ISBLANK(EC_comparison[[#This Row],[Aureus]])),ISBLANK(EC_comparison[[#This Row],[Genitalium]]),ISBLANK(EC_comparison[[#This Row],[Minesweeper]]),ISBLANK(EC_comparison[[#This Row],[Pneumoniae]]))</f>
        <v>0</v>
      </c>
      <c r="H63" t="b">
        <f>AND(NOT(ISBLANK(EC_comparison[[#This Row],[Genitalium]])),ISBLANK(EC_comparison[[#This Row],[Aureus]]),ISBLANK(EC_comparison[[#This Row],[Minesweeper]]),ISBLANK(EC_comparison[[#This Row],[Pneumoniae]]))</f>
        <v>0</v>
      </c>
      <c r="I63" t="b">
        <f>AND(NOT(ISBLANK(EC_comparison[[#This Row],[Minesweeper]])),ISBLANK(EC_comparison[[#This Row],[Aureus]]),ISBLANK(EC_comparison[[#This Row],[Genitalium]]),ISBLANK(EC_comparison[[#This Row],[Pneumoniae]]))</f>
        <v>0</v>
      </c>
      <c r="J63" t="b">
        <f>AND(NOT(ISBLANK(EC_comparison[[#This Row],[Pneumoniae]])),ISBLANK(EC_comparison[[#This Row],[Aureus]]),ISBLANK(EC_comparison[[#This Row],[Genitalium]]),ISBLANK(EC_comparison[[#This Row],[Minesweeper]]))</f>
        <v>0</v>
      </c>
      <c r="N63" t="s">
        <v>32</v>
      </c>
    </row>
    <row r="64" spans="1:14" x14ac:dyDescent="0.25">
      <c r="B64" t="s">
        <v>139</v>
      </c>
      <c r="C64" t="s">
        <v>139</v>
      </c>
      <c r="D64" t="s">
        <v>139</v>
      </c>
      <c r="E64" t="b">
        <f t="shared" si="0"/>
        <v>0</v>
      </c>
      <c r="F64" t="b">
        <f t="shared" si="1"/>
        <v>1</v>
      </c>
      <c r="G64" t="b">
        <f>AND(NOT(ISBLANK(EC_comparison[[#This Row],[Aureus]])),ISBLANK(EC_comparison[[#This Row],[Genitalium]]),ISBLANK(EC_comparison[[#This Row],[Minesweeper]]),ISBLANK(EC_comparison[[#This Row],[Pneumoniae]]))</f>
        <v>0</v>
      </c>
      <c r="H64" t="b">
        <f>AND(NOT(ISBLANK(EC_comparison[[#This Row],[Genitalium]])),ISBLANK(EC_comparison[[#This Row],[Aureus]]),ISBLANK(EC_comparison[[#This Row],[Minesweeper]]),ISBLANK(EC_comparison[[#This Row],[Pneumoniae]]))</f>
        <v>0</v>
      </c>
      <c r="I64" t="b">
        <f>AND(NOT(ISBLANK(EC_comparison[[#This Row],[Minesweeper]])),ISBLANK(EC_comparison[[#This Row],[Aureus]]),ISBLANK(EC_comparison[[#This Row],[Genitalium]]),ISBLANK(EC_comparison[[#This Row],[Pneumoniae]]))</f>
        <v>0</v>
      </c>
      <c r="J64" t="b">
        <f>AND(NOT(ISBLANK(EC_comparison[[#This Row],[Pneumoniae]])),ISBLANK(EC_comparison[[#This Row],[Aureus]]),ISBLANK(EC_comparison[[#This Row],[Genitalium]]),ISBLANK(EC_comparison[[#This Row],[Minesweeper]]))</f>
        <v>0</v>
      </c>
      <c r="N64" t="s">
        <v>61</v>
      </c>
    </row>
    <row r="65" spans="1:14" x14ac:dyDescent="0.25">
      <c r="B65" t="s">
        <v>130</v>
      </c>
      <c r="C65" t="s">
        <v>130</v>
      </c>
      <c r="D65" t="s">
        <v>130</v>
      </c>
      <c r="E65" t="b">
        <f t="shared" si="0"/>
        <v>0</v>
      </c>
      <c r="F65" t="b">
        <f t="shared" si="1"/>
        <v>1</v>
      </c>
      <c r="G65" t="b">
        <f>AND(NOT(ISBLANK(EC_comparison[[#This Row],[Aureus]])),ISBLANK(EC_comparison[[#This Row],[Genitalium]]),ISBLANK(EC_comparison[[#This Row],[Minesweeper]]),ISBLANK(EC_comparison[[#This Row],[Pneumoniae]]))</f>
        <v>0</v>
      </c>
      <c r="H65" t="b">
        <f>AND(NOT(ISBLANK(EC_comparison[[#This Row],[Genitalium]])),ISBLANK(EC_comparison[[#This Row],[Aureus]]),ISBLANK(EC_comparison[[#This Row],[Minesweeper]]),ISBLANK(EC_comparison[[#This Row],[Pneumoniae]]))</f>
        <v>0</v>
      </c>
      <c r="I65" t="b">
        <f>AND(NOT(ISBLANK(EC_comparison[[#This Row],[Minesweeper]])),ISBLANK(EC_comparison[[#This Row],[Aureus]]),ISBLANK(EC_comparison[[#This Row],[Genitalium]]),ISBLANK(EC_comparison[[#This Row],[Pneumoniae]]))</f>
        <v>0</v>
      </c>
      <c r="J65" t="b">
        <f>AND(NOT(ISBLANK(EC_comparison[[#This Row],[Pneumoniae]])),ISBLANK(EC_comparison[[#This Row],[Aureus]]),ISBLANK(EC_comparison[[#This Row],[Genitalium]]),ISBLANK(EC_comparison[[#This Row],[Minesweeper]]))</f>
        <v>0</v>
      </c>
      <c r="N65" t="s">
        <v>68</v>
      </c>
    </row>
    <row r="66" spans="1:14" x14ac:dyDescent="0.25">
      <c r="A66" t="s">
        <v>116</v>
      </c>
      <c r="E66" t="b">
        <f t="shared" si="0"/>
        <v>0</v>
      </c>
      <c r="F66" t="b">
        <f t="shared" si="1"/>
        <v>0</v>
      </c>
      <c r="G66" t="b">
        <f>AND(NOT(ISBLANK(EC_comparison[[#This Row],[Aureus]])),ISBLANK(EC_comparison[[#This Row],[Genitalium]]),ISBLANK(EC_comparison[[#This Row],[Minesweeper]]),ISBLANK(EC_comparison[[#This Row],[Pneumoniae]]))</f>
        <v>1</v>
      </c>
      <c r="H66" t="b">
        <f>AND(NOT(ISBLANK(EC_comparison[[#This Row],[Genitalium]])),ISBLANK(EC_comparison[[#This Row],[Aureus]]),ISBLANK(EC_comparison[[#This Row],[Minesweeper]]),ISBLANK(EC_comparison[[#This Row],[Pneumoniae]]))</f>
        <v>0</v>
      </c>
      <c r="I66" t="b">
        <f>AND(NOT(ISBLANK(EC_comparison[[#This Row],[Minesweeper]])),ISBLANK(EC_comparison[[#This Row],[Aureus]]),ISBLANK(EC_comparison[[#This Row],[Genitalium]]),ISBLANK(EC_comparison[[#This Row],[Pneumoniae]]))</f>
        <v>0</v>
      </c>
      <c r="J66" t="b">
        <f>AND(NOT(ISBLANK(EC_comparison[[#This Row],[Pneumoniae]])),ISBLANK(EC_comparison[[#This Row],[Aureus]]),ISBLANK(EC_comparison[[#This Row],[Genitalium]]),ISBLANK(EC_comparison[[#This Row],[Minesweeper]]))</f>
        <v>0</v>
      </c>
      <c r="N66" t="s">
        <v>38</v>
      </c>
    </row>
    <row r="67" spans="1:14" x14ac:dyDescent="0.25">
      <c r="A67" t="s">
        <v>99</v>
      </c>
      <c r="B67" t="s">
        <v>99</v>
      </c>
      <c r="C67" t="s">
        <v>99</v>
      </c>
      <c r="D67" t="s">
        <v>99</v>
      </c>
      <c r="E67" t="b">
        <f t="shared" ref="E67:E130" si="2">NOT(OR(ISBLANK(A67),ISBLANK(B67),ISBLANK(C67),ISBLANK(D67)))</f>
        <v>1</v>
      </c>
      <c r="F67" t="b">
        <f t="shared" ref="F67:F130" si="3">NOT(OR(ISBLANK(B67),ISBLANK(C67),ISBLANK(D67)))</f>
        <v>1</v>
      </c>
      <c r="G67" t="b">
        <f>AND(NOT(ISBLANK(EC_comparison[[#This Row],[Aureus]])),ISBLANK(EC_comparison[[#This Row],[Genitalium]]),ISBLANK(EC_comparison[[#This Row],[Minesweeper]]),ISBLANK(EC_comparison[[#This Row],[Pneumoniae]]))</f>
        <v>0</v>
      </c>
      <c r="H67" t="b">
        <f>AND(NOT(ISBLANK(EC_comparison[[#This Row],[Genitalium]])),ISBLANK(EC_comparison[[#This Row],[Aureus]]),ISBLANK(EC_comparison[[#This Row],[Minesweeper]]),ISBLANK(EC_comparison[[#This Row],[Pneumoniae]]))</f>
        <v>0</v>
      </c>
      <c r="I67" t="b">
        <f>AND(NOT(ISBLANK(EC_comparison[[#This Row],[Minesweeper]])),ISBLANK(EC_comparison[[#This Row],[Aureus]]),ISBLANK(EC_comparison[[#This Row],[Genitalium]]),ISBLANK(EC_comparison[[#This Row],[Pneumoniae]]))</f>
        <v>0</v>
      </c>
      <c r="J67" t="b">
        <f>AND(NOT(ISBLANK(EC_comparison[[#This Row],[Pneumoniae]])),ISBLANK(EC_comparison[[#This Row],[Aureus]]),ISBLANK(EC_comparison[[#This Row],[Genitalium]]),ISBLANK(EC_comparison[[#This Row],[Minesweeper]]))</f>
        <v>0</v>
      </c>
      <c r="N67" t="s">
        <v>92</v>
      </c>
    </row>
    <row r="68" spans="1:14" x14ac:dyDescent="0.25">
      <c r="B68" t="s">
        <v>158</v>
      </c>
      <c r="C68" t="s">
        <v>158</v>
      </c>
      <c r="E68" t="b">
        <f t="shared" si="2"/>
        <v>0</v>
      </c>
      <c r="F68" t="b">
        <f t="shared" si="3"/>
        <v>0</v>
      </c>
      <c r="G68" t="b">
        <f>AND(NOT(ISBLANK(EC_comparison[[#This Row],[Aureus]])),ISBLANK(EC_comparison[[#This Row],[Genitalium]]),ISBLANK(EC_comparison[[#This Row],[Minesweeper]]),ISBLANK(EC_comparison[[#This Row],[Pneumoniae]]))</f>
        <v>0</v>
      </c>
      <c r="H68" t="b">
        <f>AND(NOT(ISBLANK(EC_comparison[[#This Row],[Genitalium]])),ISBLANK(EC_comparison[[#This Row],[Aureus]]),ISBLANK(EC_comparison[[#This Row],[Minesweeper]]),ISBLANK(EC_comparison[[#This Row],[Pneumoniae]]))</f>
        <v>0</v>
      </c>
      <c r="I68" t="b">
        <f>AND(NOT(ISBLANK(EC_comparison[[#This Row],[Minesweeper]])),ISBLANK(EC_comparison[[#This Row],[Aureus]]),ISBLANK(EC_comparison[[#This Row],[Genitalium]]),ISBLANK(EC_comparison[[#This Row],[Pneumoniae]]))</f>
        <v>0</v>
      </c>
      <c r="J68" t="b">
        <f>AND(NOT(ISBLANK(EC_comparison[[#This Row],[Pneumoniae]])),ISBLANK(EC_comparison[[#This Row],[Aureus]]),ISBLANK(EC_comparison[[#This Row],[Genitalium]]),ISBLANK(EC_comparison[[#This Row],[Minesweeper]]))</f>
        <v>0</v>
      </c>
      <c r="N68" t="s">
        <v>112</v>
      </c>
    </row>
    <row r="69" spans="1:14" x14ac:dyDescent="0.25">
      <c r="A69" t="s">
        <v>83</v>
      </c>
      <c r="E69" t="b">
        <f t="shared" si="2"/>
        <v>0</v>
      </c>
      <c r="F69" t="b">
        <f t="shared" si="3"/>
        <v>0</v>
      </c>
      <c r="G69" t="b">
        <f>AND(NOT(ISBLANK(EC_comparison[[#This Row],[Aureus]])),ISBLANK(EC_comparison[[#This Row],[Genitalium]]),ISBLANK(EC_comparison[[#This Row],[Minesweeper]]),ISBLANK(EC_comparison[[#This Row],[Pneumoniae]]))</f>
        <v>1</v>
      </c>
      <c r="H69" t="b">
        <f>AND(NOT(ISBLANK(EC_comparison[[#This Row],[Genitalium]])),ISBLANK(EC_comparison[[#This Row],[Aureus]]),ISBLANK(EC_comparison[[#This Row],[Minesweeper]]),ISBLANK(EC_comparison[[#This Row],[Pneumoniae]]))</f>
        <v>0</v>
      </c>
      <c r="I69" t="b">
        <f>AND(NOT(ISBLANK(EC_comparison[[#This Row],[Minesweeper]])),ISBLANK(EC_comparison[[#This Row],[Aureus]]),ISBLANK(EC_comparison[[#This Row],[Genitalium]]),ISBLANK(EC_comparison[[#This Row],[Pneumoniae]]))</f>
        <v>0</v>
      </c>
      <c r="J69" t="b">
        <f>AND(NOT(ISBLANK(EC_comparison[[#This Row],[Pneumoniae]])),ISBLANK(EC_comparison[[#This Row],[Aureus]]),ISBLANK(EC_comparison[[#This Row],[Genitalium]]),ISBLANK(EC_comparison[[#This Row],[Minesweeper]]))</f>
        <v>0</v>
      </c>
      <c r="N69" t="s">
        <v>103</v>
      </c>
    </row>
    <row r="70" spans="1:14" x14ac:dyDescent="0.25">
      <c r="A70" t="s">
        <v>26</v>
      </c>
      <c r="B70" t="s">
        <v>26</v>
      </c>
      <c r="E70" t="b">
        <f t="shared" si="2"/>
        <v>0</v>
      </c>
      <c r="F70" t="b">
        <f t="shared" si="3"/>
        <v>0</v>
      </c>
      <c r="G70" t="b">
        <f>AND(NOT(ISBLANK(EC_comparison[[#This Row],[Aureus]])),ISBLANK(EC_comparison[[#This Row],[Genitalium]]),ISBLANK(EC_comparison[[#This Row],[Minesweeper]]),ISBLANK(EC_comparison[[#This Row],[Pneumoniae]]))</f>
        <v>0</v>
      </c>
      <c r="H70" t="b">
        <f>AND(NOT(ISBLANK(EC_comparison[[#This Row],[Genitalium]])),ISBLANK(EC_comparison[[#This Row],[Aureus]]),ISBLANK(EC_comparison[[#This Row],[Minesweeper]]),ISBLANK(EC_comparison[[#This Row],[Pneumoniae]]))</f>
        <v>0</v>
      </c>
      <c r="I70" t="b">
        <f>AND(NOT(ISBLANK(EC_comparison[[#This Row],[Minesweeper]])),ISBLANK(EC_comparison[[#This Row],[Aureus]]),ISBLANK(EC_comparison[[#This Row],[Genitalium]]),ISBLANK(EC_comparison[[#This Row],[Pneumoniae]]))</f>
        <v>0</v>
      </c>
      <c r="J70" t="b">
        <f>AND(NOT(ISBLANK(EC_comparison[[#This Row],[Pneumoniae]])),ISBLANK(EC_comparison[[#This Row],[Aureus]]),ISBLANK(EC_comparison[[#This Row],[Genitalium]]),ISBLANK(EC_comparison[[#This Row],[Minesweeper]]))</f>
        <v>0</v>
      </c>
      <c r="N70" t="s">
        <v>49</v>
      </c>
    </row>
    <row r="71" spans="1:14" x14ac:dyDescent="0.25">
      <c r="B71" t="s">
        <v>155</v>
      </c>
      <c r="D71" t="s">
        <v>155</v>
      </c>
      <c r="E71" t="b">
        <f t="shared" si="2"/>
        <v>0</v>
      </c>
      <c r="F71" t="b">
        <f t="shared" si="3"/>
        <v>0</v>
      </c>
      <c r="G71" t="b">
        <f>AND(NOT(ISBLANK(EC_comparison[[#This Row],[Aureus]])),ISBLANK(EC_comparison[[#This Row],[Genitalium]]),ISBLANK(EC_comparison[[#This Row],[Minesweeper]]),ISBLANK(EC_comparison[[#This Row],[Pneumoniae]]))</f>
        <v>0</v>
      </c>
      <c r="H71" t="b">
        <f>AND(NOT(ISBLANK(EC_comparison[[#This Row],[Genitalium]])),ISBLANK(EC_comparison[[#This Row],[Aureus]]),ISBLANK(EC_comparison[[#This Row],[Minesweeper]]),ISBLANK(EC_comparison[[#This Row],[Pneumoniae]]))</f>
        <v>0</v>
      </c>
      <c r="I71" t="b">
        <f>AND(NOT(ISBLANK(EC_comparison[[#This Row],[Minesweeper]])),ISBLANK(EC_comparison[[#This Row],[Aureus]]),ISBLANK(EC_comparison[[#This Row],[Genitalium]]),ISBLANK(EC_comparison[[#This Row],[Pneumoniae]]))</f>
        <v>0</v>
      </c>
      <c r="J71" t="b">
        <f>AND(NOT(ISBLANK(EC_comparison[[#This Row],[Pneumoniae]])),ISBLANK(EC_comparison[[#This Row],[Aureus]]),ISBLANK(EC_comparison[[#This Row],[Genitalium]]),ISBLANK(EC_comparison[[#This Row],[Minesweeper]]))</f>
        <v>0</v>
      </c>
      <c r="N71" t="s">
        <v>73</v>
      </c>
    </row>
    <row r="72" spans="1:14" x14ac:dyDescent="0.25">
      <c r="A72" t="s">
        <v>28</v>
      </c>
      <c r="E72" t="b">
        <f t="shared" si="2"/>
        <v>0</v>
      </c>
      <c r="F72" t="b">
        <f t="shared" si="3"/>
        <v>0</v>
      </c>
      <c r="G72" t="b">
        <f>AND(NOT(ISBLANK(EC_comparison[[#This Row],[Aureus]])),ISBLANK(EC_comparison[[#This Row],[Genitalium]]),ISBLANK(EC_comparison[[#This Row],[Minesweeper]]),ISBLANK(EC_comparison[[#This Row],[Pneumoniae]]))</f>
        <v>1</v>
      </c>
      <c r="H72" t="b">
        <f>AND(NOT(ISBLANK(EC_comparison[[#This Row],[Genitalium]])),ISBLANK(EC_comparison[[#This Row],[Aureus]]),ISBLANK(EC_comparison[[#This Row],[Minesweeper]]),ISBLANK(EC_comparison[[#This Row],[Pneumoniae]]))</f>
        <v>0</v>
      </c>
      <c r="I72" t="b">
        <f>AND(NOT(ISBLANK(EC_comparison[[#This Row],[Minesweeper]])),ISBLANK(EC_comparison[[#This Row],[Aureus]]),ISBLANK(EC_comparison[[#This Row],[Genitalium]]),ISBLANK(EC_comparison[[#This Row],[Pneumoniae]]))</f>
        <v>0</v>
      </c>
      <c r="J72" t="b">
        <f>AND(NOT(ISBLANK(EC_comparison[[#This Row],[Pneumoniae]])),ISBLANK(EC_comparison[[#This Row],[Aureus]]),ISBLANK(EC_comparison[[#This Row],[Genitalium]]),ISBLANK(EC_comparison[[#This Row],[Minesweeper]]))</f>
        <v>0</v>
      </c>
      <c r="N72" t="s">
        <v>115</v>
      </c>
    </row>
    <row r="73" spans="1:14" x14ac:dyDescent="0.25">
      <c r="B73" t="s">
        <v>161</v>
      </c>
      <c r="C73" t="s">
        <v>161</v>
      </c>
      <c r="D73" t="s">
        <v>161</v>
      </c>
      <c r="E73" t="b">
        <f t="shared" si="2"/>
        <v>0</v>
      </c>
      <c r="F73" t="b">
        <f t="shared" si="3"/>
        <v>1</v>
      </c>
      <c r="G73" t="b">
        <f>AND(NOT(ISBLANK(EC_comparison[[#This Row],[Aureus]])),ISBLANK(EC_comparison[[#This Row],[Genitalium]]),ISBLANK(EC_comparison[[#This Row],[Minesweeper]]),ISBLANK(EC_comparison[[#This Row],[Pneumoniae]]))</f>
        <v>0</v>
      </c>
      <c r="H73" t="b">
        <f>AND(NOT(ISBLANK(EC_comparison[[#This Row],[Genitalium]])),ISBLANK(EC_comparison[[#This Row],[Aureus]]),ISBLANK(EC_comparison[[#This Row],[Minesweeper]]),ISBLANK(EC_comparison[[#This Row],[Pneumoniae]]))</f>
        <v>0</v>
      </c>
      <c r="I73" t="b">
        <f>AND(NOT(ISBLANK(EC_comparison[[#This Row],[Minesweeper]])),ISBLANK(EC_comparison[[#This Row],[Aureus]]),ISBLANK(EC_comparison[[#This Row],[Genitalium]]),ISBLANK(EC_comparison[[#This Row],[Pneumoniae]]))</f>
        <v>0</v>
      </c>
      <c r="J73" t="b">
        <f>AND(NOT(ISBLANK(EC_comparison[[#This Row],[Pneumoniae]])),ISBLANK(EC_comparison[[#This Row],[Aureus]]),ISBLANK(EC_comparison[[#This Row],[Genitalium]]),ISBLANK(EC_comparison[[#This Row],[Minesweeper]]))</f>
        <v>0</v>
      </c>
      <c r="N73" t="s">
        <v>4</v>
      </c>
    </row>
    <row r="74" spans="1:14" x14ac:dyDescent="0.25">
      <c r="A74" t="s">
        <v>78</v>
      </c>
      <c r="E74" t="b">
        <f t="shared" si="2"/>
        <v>0</v>
      </c>
      <c r="F74" t="b">
        <f t="shared" si="3"/>
        <v>0</v>
      </c>
      <c r="G74" t="b">
        <f>AND(NOT(ISBLANK(EC_comparison[[#This Row],[Aureus]])),ISBLANK(EC_comparison[[#This Row],[Genitalium]]),ISBLANK(EC_comparison[[#This Row],[Minesweeper]]),ISBLANK(EC_comparison[[#This Row],[Pneumoniae]]))</f>
        <v>1</v>
      </c>
      <c r="H74" t="b">
        <f>AND(NOT(ISBLANK(EC_comparison[[#This Row],[Genitalium]])),ISBLANK(EC_comparison[[#This Row],[Aureus]]),ISBLANK(EC_comparison[[#This Row],[Minesweeper]]),ISBLANK(EC_comparison[[#This Row],[Pneumoniae]]))</f>
        <v>0</v>
      </c>
      <c r="I74" t="b">
        <f>AND(NOT(ISBLANK(EC_comparison[[#This Row],[Minesweeper]])),ISBLANK(EC_comparison[[#This Row],[Aureus]]),ISBLANK(EC_comparison[[#This Row],[Genitalium]]),ISBLANK(EC_comparison[[#This Row],[Pneumoniae]]))</f>
        <v>0</v>
      </c>
      <c r="J74" t="b">
        <f>AND(NOT(ISBLANK(EC_comparison[[#This Row],[Pneumoniae]])),ISBLANK(EC_comparison[[#This Row],[Aureus]]),ISBLANK(EC_comparison[[#This Row],[Genitalium]]),ISBLANK(EC_comparison[[#This Row],[Minesweeper]]))</f>
        <v>0</v>
      </c>
      <c r="N74" t="s">
        <v>53</v>
      </c>
    </row>
    <row r="75" spans="1:14" x14ac:dyDescent="0.25">
      <c r="A75" t="s">
        <v>21</v>
      </c>
      <c r="E75" t="b">
        <f t="shared" si="2"/>
        <v>0</v>
      </c>
      <c r="F75" t="b">
        <f t="shared" si="3"/>
        <v>0</v>
      </c>
      <c r="G75" t="b">
        <f>AND(NOT(ISBLANK(EC_comparison[[#This Row],[Aureus]])),ISBLANK(EC_comparison[[#This Row],[Genitalium]]),ISBLANK(EC_comparison[[#This Row],[Minesweeper]]),ISBLANK(EC_comparison[[#This Row],[Pneumoniae]]))</f>
        <v>1</v>
      </c>
      <c r="H75" t="b">
        <f>AND(NOT(ISBLANK(EC_comparison[[#This Row],[Genitalium]])),ISBLANK(EC_comparison[[#This Row],[Aureus]]),ISBLANK(EC_comparison[[#This Row],[Minesweeper]]),ISBLANK(EC_comparison[[#This Row],[Pneumoniae]]))</f>
        <v>0</v>
      </c>
      <c r="I75" t="b">
        <f>AND(NOT(ISBLANK(EC_comparison[[#This Row],[Minesweeper]])),ISBLANK(EC_comparison[[#This Row],[Aureus]]),ISBLANK(EC_comparison[[#This Row],[Genitalium]]),ISBLANK(EC_comparison[[#This Row],[Pneumoniae]]))</f>
        <v>0</v>
      </c>
      <c r="J75" t="b">
        <f>AND(NOT(ISBLANK(EC_comparison[[#This Row],[Pneumoniae]])),ISBLANK(EC_comparison[[#This Row],[Aureus]]),ISBLANK(EC_comparison[[#This Row],[Genitalium]]),ISBLANK(EC_comparison[[#This Row],[Minesweeper]]))</f>
        <v>0</v>
      </c>
      <c r="N75" t="s">
        <v>82</v>
      </c>
    </row>
    <row r="76" spans="1:14" x14ac:dyDescent="0.25">
      <c r="B76" t="s">
        <v>162</v>
      </c>
      <c r="C76" t="s">
        <v>162</v>
      </c>
      <c r="D76" t="s">
        <v>162</v>
      </c>
      <c r="E76" t="b">
        <f t="shared" si="2"/>
        <v>0</v>
      </c>
      <c r="F76" t="b">
        <f t="shared" si="3"/>
        <v>1</v>
      </c>
      <c r="G76" t="b">
        <f>AND(NOT(ISBLANK(EC_comparison[[#This Row],[Aureus]])),ISBLANK(EC_comparison[[#This Row],[Genitalium]]),ISBLANK(EC_comparison[[#This Row],[Minesweeper]]),ISBLANK(EC_comparison[[#This Row],[Pneumoniae]]))</f>
        <v>0</v>
      </c>
      <c r="H76" t="b">
        <f>AND(NOT(ISBLANK(EC_comparison[[#This Row],[Genitalium]])),ISBLANK(EC_comparison[[#This Row],[Aureus]]),ISBLANK(EC_comparison[[#This Row],[Minesweeper]]),ISBLANK(EC_comparison[[#This Row],[Pneumoniae]]))</f>
        <v>0</v>
      </c>
      <c r="I76" t="b">
        <f>AND(NOT(ISBLANK(EC_comparison[[#This Row],[Minesweeper]])),ISBLANK(EC_comparison[[#This Row],[Aureus]]),ISBLANK(EC_comparison[[#This Row],[Genitalium]]),ISBLANK(EC_comparison[[#This Row],[Pneumoniae]]))</f>
        <v>0</v>
      </c>
      <c r="J76" t="b">
        <f>AND(NOT(ISBLANK(EC_comparison[[#This Row],[Pneumoniae]])),ISBLANK(EC_comparison[[#This Row],[Aureus]]),ISBLANK(EC_comparison[[#This Row],[Genitalium]]),ISBLANK(EC_comparison[[#This Row],[Minesweeper]]))</f>
        <v>0</v>
      </c>
    </row>
    <row r="77" spans="1:14" x14ac:dyDescent="0.25">
      <c r="B77" t="s">
        <v>153</v>
      </c>
      <c r="C77" t="s">
        <v>153</v>
      </c>
      <c r="D77" t="s">
        <v>153</v>
      </c>
      <c r="E77" t="b">
        <f t="shared" si="2"/>
        <v>0</v>
      </c>
      <c r="F77" t="b">
        <f t="shared" si="3"/>
        <v>1</v>
      </c>
      <c r="G77" t="b">
        <f>AND(NOT(ISBLANK(EC_comparison[[#This Row],[Aureus]])),ISBLANK(EC_comparison[[#This Row],[Genitalium]]),ISBLANK(EC_comparison[[#This Row],[Minesweeper]]),ISBLANK(EC_comparison[[#This Row],[Pneumoniae]]))</f>
        <v>0</v>
      </c>
      <c r="H77" t="b">
        <f>AND(NOT(ISBLANK(EC_comparison[[#This Row],[Genitalium]])),ISBLANK(EC_comparison[[#This Row],[Aureus]]),ISBLANK(EC_comparison[[#This Row],[Minesweeper]]),ISBLANK(EC_comparison[[#This Row],[Pneumoniae]]))</f>
        <v>0</v>
      </c>
      <c r="I77" t="b">
        <f>AND(NOT(ISBLANK(EC_comparison[[#This Row],[Minesweeper]])),ISBLANK(EC_comparison[[#This Row],[Aureus]]),ISBLANK(EC_comparison[[#This Row],[Genitalium]]),ISBLANK(EC_comparison[[#This Row],[Pneumoniae]]))</f>
        <v>0</v>
      </c>
      <c r="J77" t="b">
        <f>AND(NOT(ISBLANK(EC_comparison[[#This Row],[Pneumoniae]])),ISBLANK(EC_comparison[[#This Row],[Aureus]]),ISBLANK(EC_comparison[[#This Row],[Genitalium]]),ISBLANK(EC_comparison[[#This Row],[Minesweeper]]))</f>
        <v>0</v>
      </c>
    </row>
    <row r="78" spans="1:14" x14ac:dyDescent="0.25">
      <c r="A78" t="s">
        <v>121</v>
      </c>
      <c r="E78" t="b">
        <f t="shared" si="2"/>
        <v>0</v>
      </c>
      <c r="F78" t="b">
        <f t="shared" si="3"/>
        <v>0</v>
      </c>
      <c r="G78" t="b">
        <f>AND(NOT(ISBLANK(EC_comparison[[#This Row],[Aureus]])),ISBLANK(EC_comparison[[#This Row],[Genitalium]]),ISBLANK(EC_comparison[[#This Row],[Minesweeper]]),ISBLANK(EC_comparison[[#This Row],[Pneumoniae]]))</f>
        <v>1</v>
      </c>
      <c r="H78" t="b">
        <f>AND(NOT(ISBLANK(EC_comparison[[#This Row],[Genitalium]])),ISBLANK(EC_comparison[[#This Row],[Aureus]]),ISBLANK(EC_comparison[[#This Row],[Minesweeper]]),ISBLANK(EC_comparison[[#This Row],[Pneumoniae]]))</f>
        <v>0</v>
      </c>
      <c r="I78" t="b">
        <f>AND(NOT(ISBLANK(EC_comparison[[#This Row],[Minesweeper]])),ISBLANK(EC_comparison[[#This Row],[Aureus]]),ISBLANK(EC_comparison[[#This Row],[Genitalium]]),ISBLANK(EC_comparison[[#This Row],[Pneumoniae]]))</f>
        <v>0</v>
      </c>
      <c r="J78" t="b">
        <f>AND(NOT(ISBLANK(EC_comparison[[#This Row],[Pneumoniae]])),ISBLANK(EC_comparison[[#This Row],[Aureus]]),ISBLANK(EC_comparison[[#This Row],[Genitalium]]),ISBLANK(EC_comparison[[#This Row],[Minesweeper]]))</f>
        <v>0</v>
      </c>
    </row>
    <row r="79" spans="1:14" x14ac:dyDescent="0.25">
      <c r="A79" t="s">
        <v>56</v>
      </c>
      <c r="B79" t="s">
        <v>56</v>
      </c>
      <c r="C79" t="s">
        <v>56</v>
      </c>
      <c r="D79" t="s">
        <v>56</v>
      </c>
      <c r="E79" t="b">
        <f t="shared" si="2"/>
        <v>1</v>
      </c>
      <c r="F79" t="b">
        <f t="shared" si="3"/>
        <v>1</v>
      </c>
      <c r="G79" t="b">
        <f>AND(NOT(ISBLANK(EC_comparison[[#This Row],[Aureus]])),ISBLANK(EC_comparison[[#This Row],[Genitalium]]),ISBLANK(EC_comparison[[#This Row],[Minesweeper]]),ISBLANK(EC_comparison[[#This Row],[Pneumoniae]]))</f>
        <v>0</v>
      </c>
      <c r="H79" t="b">
        <f>AND(NOT(ISBLANK(EC_comparison[[#This Row],[Genitalium]])),ISBLANK(EC_comparison[[#This Row],[Aureus]]),ISBLANK(EC_comparison[[#This Row],[Minesweeper]]),ISBLANK(EC_comparison[[#This Row],[Pneumoniae]]))</f>
        <v>0</v>
      </c>
      <c r="I79" t="b">
        <f>AND(NOT(ISBLANK(EC_comparison[[#This Row],[Minesweeper]])),ISBLANK(EC_comparison[[#This Row],[Aureus]]),ISBLANK(EC_comparison[[#This Row],[Genitalium]]),ISBLANK(EC_comparison[[#This Row],[Pneumoniae]]))</f>
        <v>0</v>
      </c>
      <c r="J79" t="b">
        <f>AND(NOT(ISBLANK(EC_comparison[[#This Row],[Pneumoniae]])),ISBLANK(EC_comparison[[#This Row],[Aureus]]),ISBLANK(EC_comparison[[#This Row],[Genitalium]]),ISBLANK(EC_comparison[[#This Row],[Minesweeper]]))</f>
        <v>0</v>
      </c>
    </row>
    <row r="80" spans="1:14" x14ac:dyDescent="0.25">
      <c r="A80" t="s">
        <v>5</v>
      </c>
      <c r="B80" t="s">
        <v>5</v>
      </c>
      <c r="C80" t="s">
        <v>5</v>
      </c>
      <c r="D80" t="s">
        <v>5</v>
      </c>
      <c r="E80" t="b">
        <f t="shared" si="2"/>
        <v>1</v>
      </c>
      <c r="F80" t="b">
        <f t="shared" si="3"/>
        <v>1</v>
      </c>
      <c r="G80" t="b">
        <f>AND(NOT(ISBLANK(EC_comparison[[#This Row],[Aureus]])),ISBLANK(EC_comparison[[#This Row],[Genitalium]]),ISBLANK(EC_comparison[[#This Row],[Minesweeper]]),ISBLANK(EC_comparison[[#This Row],[Pneumoniae]]))</f>
        <v>0</v>
      </c>
      <c r="H80" t="b">
        <f>AND(NOT(ISBLANK(EC_comparison[[#This Row],[Genitalium]])),ISBLANK(EC_comparison[[#This Row],[Aureus]]),ISBLANK(EC_comparison[[#This Row],[Minesweeper]]),ISBLANK(EC_comparison[[#This Row],[Pneumoniae]]))</f>
        <v>0</v>
      </c>
      <c r="I80" t="b">
        <f>AND(NOT(ISBLANK(EC_comparison[[#This Row],[Minesweeper]])),ISBLANK(EC_comparison[[#This Row],[Aureus]]),ISBLANK(EC_comparison[[#This Row],[Genitalium]]),ISBLANK(EC_comparison[[#This Row],[Pneumoniae]]))</f>
        <v>0</v>
      </c>
      <c r="J80" t="b">
        <f>AND(NOT(ISBLANK(EC_comparison[[#This Row],[Pneumoniae]])),ISBLANK(EC_comparison[[#This Row],[Aureus]]),ISBLANK(EC_comparison[[#This Row],[Genitalium]]),ISBLANK(EC_comparison[[#This Row],[Minesweeper]]))</f>
        <v>0</v>
      </c>
    </row>
    <row r="81" spans="1:10" x14ac:dyDescent="0.25">
      <c r="A81" t="s">
        <v>8</v>
      </c>
      <c r="B81" t="s">
        <v>8</v>
      </c>
      <c r="D81" t="s">
        <v>8</v>
      </c>
      <c r="E81" t="b">
        <f t="shared" si="2"/>
        <v>0</v>
      </c>
      <c r="F81" t="b">
        <f t="shared" si="3"/>
        <v>0</v>
      </c>
      <c r="G81" t="b">
        <f>AND(NOT(ISBLANK(EC_comparison[[#This Row],[Aureus]])),ISBLANK(EC_comparison[[#This Row],[Genitalium]]),ISBLANK(EC_comparison[[#This Row],[Minesweeper]]),ISBLANK(EC_comparison[[#This Row],[Pneumoniae]]))</f>
        <v>0</v>
      </c>
      <c r="H81" t="b">
        <f>AND(NOT(ISBLANK(EC_comparison[[#This Row],[Genitalium]])),ISBLANK(EC_comparison[[#This Row],[Aureus]]),ISBLANK(EC_comparison[[#This Row],[Minesweeper]]),ISBLANK(EC_comparison[[#This Row],[Pneumoniae]]))</f>
        <v>0</v>
      </c>
      <c r="I81" t="b">
        <f>AND(NOT(ISBLANK(EC_comparison[[#This Row],[Minesweeper]])),ISBLANK(EC_comparison[[#This Row],[Aureus]]),ISBLANK(EC_comparison[[#This Row],[Genitalium]]),ISBLANK(EC_comparison[[#This Row],[Pneumoniae]]))</f>
        <v>0</v>
      </c>
      <c r="J81" t="b">
        <f>AND(NOT(ISBLANK(EC_comparison[[#This Row],[Pneumoniae]])),ISBLANK(EC_comparison[[#This Row],[Aureus]]),ISBLANK(EC_comparison[[#This Row],[Genitalium]]),ISBLANK(EC_comparison[[#This Row],[Minesweeper]]))</f>
        <v>0</v>
      </c>
    </row>
    <row r="82" spans="1:10" x14ac:dyDescent="0.25">
      <c r="A82" t="s">
        <v>13</v>
      </c>
      <c r="E82" t="b">
        <f t="shared" si="2"/>
        <v>0</v>
      </c>
      <c r="F82" t="b">
        <f t="shared" si="3"/>
        <v>0</v>
      </c>
      <c r="G82" t="b">
        <f>AND(NOT(ISBLANK(EC_comparison[[#This Row],[Aureus]])),ISBLANK(EC_comparison[[#This Row],[Genitalium]]),ISBLANK(EC_comparison[[#This Row],[Minesweeper]]),ISBLANK(EC_comparison[[#This Row],[Pneumoniae]]))</f>
        <v>1</v>
      </c>
      <c r="H82" t="b">
        <f>AND(NOT(ISBLANK(EC_comparison[[#This Row],[Genitalium]])),ISBLANK(EC_comparison[[#This Row],[Aureus]]),ISBLANK(EC_comparison[[#This Row],[Minesweeper]]),ISBLANK(EC_comparison[[#This Row],[Pneumoniae]]))</f>
        <v>0</v>
      </c>
      <c r="I82" t="b">
        <f>AND(NOT(ISBLANK(EC_comparison[[#This Row],[Minesweeper]])),ISBLANK(EC_comparison[[#This Row],[Aureus]]),ISBLANK(EC_comparison[[#This Row],[Genitalium]]),ISBLANK(EC_comparison[[#This Row],[Pneumoniae]]))</f>
        <v>0</v>
      </c>
      <c r="J82" t="b">
        <f>AND(NOT(ISBLANK(EC_comparison[[#This Row],[Pneumoniae]])),ISBLANK(EC_comparison[[#This Row],[Aureus]]),ISBLANK(EC_comparison[[#This Row],[Genitalium]]),ISBLANK(EC_comparison[[#This Row],[Minesweeper]]))</f>
        <v>0</v>
      </c>
    </row>
    <row r="83" spans="1:10" x14ac:dyDescent="0.25">
      <c r="A83" t="s">
        <v>91</v>
      </c>
      <c r="E83" t="b">
        <f t="shared" si="2"/>
        <v>0</v>
      </c>
      <c r="F83" t="b">
        <f t="shared" si="3"/>
        <v>0</v>
      </c>
      <c r="G83" t="b">
        <f>AND(NOT(ISBLANK(EC_comparison[[#This Row],[Aureus]])),ISBLANK(EC_comparison[[#This Row],[Genitalium]]),ISBLANK(EC_comparison[[#This Row],[Minesweeper]]),ISBLANK(EC_comparison[[#This Row],[Pneumoniae]]))</f>
        <v>1</v>
      </c>
      <c r="H83" t="b">
        <f>AND(NOT(ISBLANK(EC_comparison[[#This Row],[Genitalium]])),ISBLANK(EC_comparison[[#This Row],[Aureus]]),ISBLANK(EC_comparison[[#This Row],[Minesweeper]]),ISBLANK(EC_comparison[[#This Row],[Pneumoniae]]))</f>
        <v>0</v>
      </c>
      <c r="I83" t="b">
        <f>AND(NOT(ISBLANK(EC_comparison[[#This Row],[Minesweeper]])),ISBLANK(EC_comparison[[#This Row],[Aureus]]),ISBLANK(EC_comparison[[#This Row],[Genitalium]]),ISBLANK(EC_comparison[[#This Row],[Pneumoniae]]))</f>
        <v>0</v>
      </c>
      <c r="J83" t="b">
        <f>AND(NOT(ISBLANK(EC_comparison[[#This Row],[Pneumoniae]])),ISBLANK(EC_comparison[[#This Row],[Aureus]]),ISBLANK(EC_comparison[[#This Row],[Genitalium]]),ISBLANK(EC_comparison[[#This Row],[Minesweeper]]))</f>
        <v>0</v>
      </c>
    </row>
    <row r="84" spans="1:10" x14ac:dyDescent="0.25">
      <c r="B84" t="s">
        <v>143</v>
      </c>
      <c r="D84" t="s">
        <v>143</v>
      </c>
      <c r="E84" t="b">
        <f t="shared" si="2"/>
        <v>0</v>
      </c>
      <c r="F84" t="b">
        <f t="shared" si="3"/>
        <v>0</v>
      </c>
      <c r="G84" t="b">
        <f>AND(NOT(ISBLANK(EC_comparison[[#This Row],[Aureus]])),ISBLANK(EC_comparison[[#This Row],[Genitalium]]),ISBLANK(EC_comparison[[#This Row],[Minesweeper]]),ISBLANK(EC_comparison[[#This Row],[Pneumoniae]]))</f>
        <v>0</v>
      </c>
      <c r="H84" t="b">
        <f>AND(NOT(ISBLANK(EC_comparison[[#This Row],[Genitalium]])),ISBLANK(EC_comparison[[#This Row],[Aureus]]),ISBLANK(EC_comparison[[#This Row],[Minesweeper]]),ISBLANK(EC_comparison[[#This Row],[Pneumoniae]]))</f>
        <v>0</v>
      </c>
      <c r="I84" t="b">
        <f>AND(NOT(ISBLANK(EC_comparison[[#This Row],[Minesweeper]])),ISBLANK(EC_comparison[[#This Row],[Aureus]]),ISBLANK(EC_comparison[[#This Row],[Genitalium]]),ISBLANK(EC_comparison[[#This Row],[Pneumoniae]]))</f>
        <v>0</v>
      </c>
      <c r="J84" t="b">
        <f>AND(NOT(ISBLANK(EC_comparison[[#This Row],[Pneumoniae]])),ISBLANK(EC_comparison[[#This Row],[Aureus]]),ISBLANK(EC_comparison[[#This Row],[Genitalium]]),ISBLANK(EC_comparison[[#This Row],[Minesweeper]]))</f>
        <v>0</v>
      </c>
    </row>
    <row r="85" spans="1:10" x14ac:dyDescent="0.25">
      <c r="A85" t="s">
        <v>84</v>
      </c>
      <c r="E85" t="b">
        <f t="shared" si="2"/>
        <v>0</v>
      </c>
      <c r="F85" t="b">
        <f t="shared" si="3"/>
        <v>0</v>
      </c>
      <c r="G85" t="b">
        <f>AND(NOT(ISBLANK(EC_comparison[[#This Row],[Aureus]])),ISBLANK(EC_comparison[[#This Row],[Genitalium]]),ISBLANK(EC_comparison[[#This Row],[Minesweeper]]),ISBLANK(EC_comparison[[#This Row],[Pneumoniae]]))</f>
        <v>1</v>
      </c>
      <c r="H85" t="b">
        <f>AND(NOT(ISBLANK(EC_comparison[[#This Row],[Genitalium]])),ISBLANK(EC_comparison[[#This Row],[Aureus]]),ISBLANK(EC_comparison[[#This Row],[Minesweeper]]),ISBLANK(EC_comparison[[#This Row],[Pneumoniae]]))</f>
        <v>0</v>
      </c>
      <c r="I85" t="b">
        <f>AND(NOT(ISBLANK(EC_comparison[[#This Row],[Minesweeper]])),ISBLANK(EC_comparison[[#This Row],[Aureus]]),ISBLANK(EC_comparison[[#This Row],[Genitalium]]),ISBLANK(EC_comparison[[#This Row],[Pneumoniae]]))</f>
        <v>0</v>
      </c>
      <c r="J85" t="b">
        <f>AND(NOT(ISBLANK(EC_comparison[[#This Row],[Pneumoniae]])),ISBLANK(EC_comparison[[#This Row],[Aureus]]),ISBLANK(EC_comparison[[#This Row],[Genitalium]]),ISBLANK(EC_comparison[[#This Row],[Minesweeper]]))</f>
        <v>0</v>
      </c>
    </row>
    <row r="86" spans="1:10" x14ac:dyDescent="0.25">
      <c r="B86" t="s">
        <v>140</v>
      </c>
      <c r="C86" t="s">
        <v>140</v>
      </c>
      <c r="D86" t="s">
        <v>140</v>
      </c>
      <c r="E86" t="b">
        <f t="shared" si="2"/>
        <v>0</v>
      </c>
      <c r="F86" t="b">
        <f t="shared" si="3"/>
        <v>1</v>
      </c>
      <c r="G86" t="b">
        <f>AND(NOT(ISBLANK(EC_comparison[[#This Row],[Aureus]])),ISBLANK(EC_comparison[[#This Row],[Genitalium]]),ISBLANK(EC_comparison[[#This Row],[Minesweeper]]),ISBLANK(EC_comparison[[#This Row],[Pneumoniae]]))</f>
        <v>0</v>
      </c>
      <c r="H86" t="b">
        <f>AND(NOT(ISBLANK(EC_comparison[[#This Row],[Genitalium]])),ISBLANK(EC_comparison[[#This Row],[Aureus]]),ISBLANK(EC_comparison[[#This Row],[Minesweeper]]),ISBLANK(EC_comparison[[#This Row],[Pneumoniae]]))</f>
        <v>0</v>
      </c>
      <c r="I86" t="b">
        <f>AND(NOT(ISBLANK(EC_comparison[[#This Row],[Minesweeper]])),ISBLANK(EC_comparison[[#This Row],[Aureus]]),ISBLANK(EC_comparison[[#This Row],[Genitalium]]),ISBLANK(EC_comparison[[#This Row],[Pneumoniae]]))</f>
        <v>0</v>
      </c>
      <c r="J86" t="b">
        <f>AND(NOT(ISBLANK(EC_comparison[[#This Row],[Pneumoniae]])),ISBLANK(EC_comparison[[#This Row],[Aureus]]),ISBLANK(EC_comparison[[#This Row],[Genitalium]]),ISBLANK(EC_comparison[[#This Row],[Minesweeper]]))</f>
        <v>0</v>
      </c>
    </row>
    <row r="87" spans="1:10" x14ac:dyDescent="0.25">
      <c r="A87" t="s">
        <v>7</v>
      </c>
      <c r="E87" t="b">
        <f t="shared" si="2"/>
        <v>0</v>
      </c>
      <c r="F87" t="b">
        <f t="shared" si="3"/>
        <v>0</v>
      </c>
      <c r="G87" t="b">
        <f>AND(NOT(ISBLANK(EC_comparison[[#This Row],[Aureus]])),ISBLANK(EC_comparison[[#This Row],[Genitalium]]),ISBLANK(EC_comparison[[#This Row],[Minesweeper]]),ISBLANK(EC_comparison[[#This Row],[Pneumoniae]]))</f>
        <v>1</v>
      </c>
      <c r="H87" t="b">
        <f>AND(NOT(ISBLANK(EC_comparison[[#This Row],[Genitalium]])),ISBLANK(EC_comparison[[#This Row],[Aureus]]),ISBLANK(EC_comparison[[#This Row],[Minesweeper]]),ISBLANK(EC_comparison[[#This Row],[Pneumoniae]]))</f>
        <v>0</v>
      </c>
      <c r="I87" t="b">
        <f>AND(NOT(ISBLANK(EC_comparison[[#This Row],[Minesweeper]])),ISBLANK(EC_comparison[[#This Row],[Aureus]]),ISBLANK(EC_comparison[[#This Row],[Genitalium]]),ISBLANK(EC_comparison[[#This Row],[Pneumoniae]]))</f>
        <v>0</v>
      </c>
      <c r="J87" t="b">
        <f>AND(NOT(ISBLANK(EC_comparison[[#This Row],[Pneumoniae]])),ISBLANK(EC_comparison[[#This Row],[Aureus]]),ISBLANK(EC_comparison[[#This Row],[Genitalium]]),ISBLANK(EC_comparison[[#This Row],[Minesweeper]]))</f>
        <v>0</v>
      </c>
    </row>
    <row r="88" spans="1:10" x14ac:dyDescent="0.25">
      <c r="A88" t="s">
        <v>44</v>
      </c>
      <c r="E88" t="b">
        <f t="shared" si="2"/>
        <v>0</v>
      </c>
      <c r="F88" t="b">
        <f t="shared" si="3"/>
        <v>0</v>
      </c>
      <c r="G88" t="b">
        <f>AND(NOT(ISBLANK(EC_comparison[[#This Row],[Aureus]])),ISBLANK(EC_comparison[[#This Row],[Genitalium]]),ISBLANK(EC_comparison[[#This Row],[Minesweeper]]),ISBLANK(EC_comparison[[#This Row],[Pneumoniae]]))</f>
        <v>1</v>
      </c>
      <c r="H88" t="b">
        <f>AND(NOT(ISBLANK(EC_comparison[[#This Row],[Genitalium]])),ISBLANK(EC_comparison[[#This Row],[Aureus]]),ISBLANK(EC_comparison[[#This Row],[Minesweeper]]),ISBLANK(EC_comparison[[#This Row],[Pneumoniae]]))</f>
        <v>0</v>
      </c>
      <c r="I88" t="b">
        <f>AND(NOT(ISBLANK(EC_comparison[[#This Row],[Minesweeper]])),ISBLANK(EC_comparison[[#This Row],[Aureus]]),ISBLANK(EC_comparison[[#This Row],[Genitalium]]),ISBLANK(EC_comparison[[#This Row],[Pneumoniae]]))</f>
        <v>0</v>
      </c>
      <c r="J88" t="b">
        <f>AND(NOT(ISBLANK(EC_comparison[[#This Row],[Pneumoniae]])),ISBLANK(EC_comparison[[#This Row],[Aureus]]),ISBLANK(EC_comparison[[#This Row],[Genitalium]]),ISBLANK(EC_comparison[[#This Row],[Minesweeper]]))</f>
        <v>0</v>
      </c>
    </row>
    <row r="89" spans="1:10" x14ac:dyDescent="0.25">
      <c r="A89" t="s">
        <v>23</v>
      </c>
      <c r="E89" t="b">
        <f t="shared" si="2"/>
        <v>0</v>
      </c>
      <c r="F89" t="b">
        <f t="shared" si="3"/>
        <v>0</v>
      </c>
      <c r="G89" t="b">
        <f>AND(NOT(ISBLANK(EC_comparison[[#This Row],[Aureus]])),ISBLANK(EC_comparison[[#This Row],[Genitalium]]),ISBLANK(EC_comparison[[#This Row],[Minesweeper]]),ISBLANK(EC_comparison[[#This Row],[Pneumoniae]]))</f>
        <v>1</v>
      </c>
      <c r="H89" t="b">
        <f>AND(NOT(ISBLANK(EC_comparison[[#This Row],[Genitalium]])),ISBLANK(EC_comparison[[#This Row],[Aureus]]),ISBLANK(EC_comparison[[#This Row],[Minesweeper]]),ISBLANK(EC_comparison[[#This Row],[Pneumoniae]]))</f>
        <v>0</v>
      </c>
      <c r="I89" t="b">
        <f>AND(NOT(ISBLANK(EC_comparison[[#This Row],[Minesweeper]])),ISBLANK(EC_comparison[[#This Row],[Aureus]]),ISBLANK(EC_comparison[[#This Row],[Genitalium]]),ISBLANK(EC_comparison[[#This Row],[Pneumoniae]]))</f>
        <v>0</v>
      </c>
      <c r="J89" t="b">
        <f>AND(NOT(ISBLANK(EC_comparison[[#This Row],[Pneumoniae]])),ISBLANK(EC_comparison[[#This Row],[Aureus]]),ISBLANK(EC_comparison[[#This Row],[Genitalium]]),ISBLANK(EC_comparison[[#This Row],[Minesweeper]]))</f>
        <v>0</v>
      </c>
    </row>
    <row r="90" spans="1:10" x14ac:dyDescent="0.25">
      <c r="A90" t="s">
        <v>17</v>
      </c>
      <c r="B90" t="s">
        <v>17</v>
      </c>
      <c r="C90" t="s">
        <v>17</v>
      </c>
      <c r="D90" t="s">
        <v>17</v>
      </c>
      <c r="E90" t="b">
        <f t="shared" si="2"/>
        <v>1</v>
      </c>
      <c r="F90" t="b">
        <f t="shared" si="3"/>
        <v>1</v>
      </c>
      <c r="G90" t="b">
        <f>AND(NOT(ISBLANK(EC_comparison[[#This Row],[Aureus]])),ISBLANK(EC_comparison[[#This Row],[Genitalium]]),ISBLANK(EC_comparison[[#This Row],[Minesweeper]]),ISBLANK(EC_comparison[[#This Row],[Pneumoniae]]))</f>
        <v>0</v>
      </c>
      <c r="H90" t="b">
        <f>AND(NOT(ISBLANK(EC_comparison[[#This Row],[Genitalium]])),ISBLANK(EC_comparison[[#This Row],[Aureus]]),ISBLANK(EC_comparison[[#This Row],[Minesweeper]]),ISBLANK(EC_comparison[[#This Row],[Pneumoniae]]))</f>
        <v>0</v>
      </c>
      <c r="I90" t="b">
        <f>AND(NOT(ISBLANK(EC_comparison[[#This Row],[Minesweeper]])),ISBLANK(EC_comparison[[#This Row],[Aureus]]),ISBLANK(EC_comparison[[#This Row],[Genitalium]]),ISBLANK(EC_comparison[[#This Row],[Pneumoniae]]))</f>
        <v>0</v>
      </c>
      <c r="J90" t="b">
        <f>AND(NOT(ISBLANK(EC_comparison[[#This Row],[Pneumoniae]])),ISBLANK(EC_comparison[[#This Row],[Aureus]]),ISBLANK(EC_comparison[[#This Row],[Genitalium]]),ISBLANK(EC_comparison[[#This Row],[Minesweeper]]))</f>
        <v>0</v>
      </c>
    </row>
    <row r="91" spans="1:10" x14ac:dyDescent="0.25">
      <c r="A91" t="s">
        <v>2</v>
      </c>
      <c r="E91" t="b">
        <f t="shared" si="2"/>
        <v>0</v>
      </c>
      <c r="F91" t="b">
        <f t="shared" si="3"/>
        <v>0</v>
      </c>
      <c r="G91" t="b">
        <f>AND(NOT(ISBLANK(EC_comparison[[#This Row],[Aureus]])),ISBLANK(EC_comparison[[#This Row],[Genitalium]]),ISBLANK(EC_comparison[[#This Row],[Minesweeper]]),ISBLANK(EC_comparison[[#This Row],[Pneumoniae]]))</f>
        <v>1</v>
      </c>
      <c r="H91" t="b">
        <f>AND(NOT(ISBLANK(EC_comparison[[#This Row],[Genitalium]])),ISBLANK(EC_comparison[[#This Row],[Aureus]]),ISBLANK(EC_comparison[[#This Row],[Minesweeper]]),ISBLANK(EC_comparison[[#This Row],[Pneumoniae]]))</f>
        <v>0</v>
      </c>
      <c r="I91" t="b">
        <f>AND(NOT(ISBLANK(EC_comparison[[#This Row],[Minesweeper]])),ISBLANK(EC_comparison[[#This Row],[Aureus]]),ISBLANK(EC_comparison[[#This Row],[Genitalium]]),ISBLANK(EC_comparison[[#This Row],[Pneumoniae]]))</f>
        <v>0</v>
      </c>
      <c r="J91" t="b">
        <f>AND(NOT(ISBLANK(EC_comparison[[#This Row],[Pneumoniae]])),ISBLANK(EC_comparison[[#This Row],[Aureus]]),ISBLANK(EC_comparison[[#This Row],[Genitalium]]),ISBLANK(EC_comparison[[#This Row],[Minesweeper]]))</f>
        <v>0</v>
      </c>
    </row>
    <row r="92" spans="1:10" x14ac:dyDescent="0.25">
      <c r="A92" t="s">
        <v>0</v>
      </c>
      <c r="B92" t="s">
        <v>0</v>
      </c>
      <c r="C92" t="s">
        <v>0</v>
      </c>
      <c r="D92" t="s">
        <v>0</v>
      </c>
      <c r="E92" t="b">
        <f t="shared" si="2"/>
        <v>1</v>
      </c>
      <c r="F92" t="b">
        <f t="shared" si="3"/>
        <v>1</v>
      </c>
      <c r="G92" t="b">
        <f>AND(NOT(ISBLANK(EC_comparison[[#This Row],[Aureus]])),ISBLANK(EC_comparison[[#This Row],[Genitalium]]),ISBLANK(EC_comparison[[#This Row],[Minesweeper]]),ISBLANK(EC_comparison[[#This Row],[Pneumoniae]]))</f>
        <v>0</v>
      </c>
      <c r="H92" t="b">
        <f>AND(NOT(ISBLANK(EC_comparison[[#This Row],[Genitalium]])),ISBLANK(EC_comparison[[#This Row],[Aureus]]),ISBLANK(EC_comparison[[#This Row],[Minesweeper]]),ISBLANK(EC_comparison[[#This Row],[Pneumoniae]]))</f>
        <v>0</v>
      </c>
      <c r="I92" t="b">
        <f>AND(NOT(ISBLANK(EC_comparison[[#This Row],[Minesweeper]])),ISBLANK(EC_comparison[[#This Row],[Aureus]]),ISBLANK(EC_comparison[[#This Row],[Genitalium]]),ISBLANK(EC_comparison[[#This Row],[Pneumoniae]]))</f>
        <v>0</v>
      </c>
      <c r="J92" t="b">
        <f>AND(NOT(ISBLANK(EC_comparison[[#This Row],[Pneumoniae]])),ISBLANK(EC_comparison[[#This Row],[Aureus]]),ISBLANK(EC_comparison[[#This Row],[Genitalium]]),ISBLANK(EC_comparison[[#This Row],[Minesweeper]]))</f>
        <v>0</v>
      </c>
    </row>
    <row r="93" spans="1:10" x14ac:dyDescent="0.25">
      <c r="B93" t="s">
        <v>165</v>
      </c>
      <c r="C93" t="s">
        <v>165</v>
      </c>
      <c r="D93" t="s">
        <v>165</v>
      </c>
      <c r="E93" t="b">
        <f t="shared" si="2"/>
        <v>0</v>
      </c>
      <c r="F93" t="b">
        <f t="shared" si="3"/>
        <v>1</v>
      </c>
      <c r="G93" t="b">
        <f>AND(NOT(ISBLANK(EC_comparison[[#This Row],[Aureus]])),ISBLANK(EC_comparison[[#This Row],[Genitalium]]),ISBLANK(EC_comparison[[#This Row],[Minesweeper]]),ISBLANK(EC_comparison[[#This Row],[Pneumoniae]]))</f>
        <v>0</v>
      </c>
      <c r="H93" t="b">
        <f>AND(NOT(ISBLANK(EC_comparison[[#This Row],[Genitalium]])),ISBLANK(EC_comparison[[#This Row],[Aureus]]),ISBLANK(EC_comparison[[#This Row],[Minesweeper]]),ISBLANK(EC_comparison[[#This Row],[Pneumoniae]]))</f>
        <v>0</v>
      </c>
      <c r="I93" t="b">
        <f>AND(NOT(ISBLANK(EC_comparison[[#This Row],[Minesweeper]])),ISBLANK(EC_comparison[[#This Row],[Aureus]]),ISBLANK(EC_comparison[[#This Row],[Genitalium]]),ISBLANK(EC_comparison[[#This Row],[Pneumoniae]]))</f>
        <v>0</v>
      </c>
      <c r="J93" t="b">
        <f>AND(NOT(ISBLANK(EC_comparison[[#This Row],[Pneumoniae]])),ISBLANK(EC_comparison[[#This Row],[Aureus]]),ISBLANK(EC_comparison[[#This Row],[Genitalium]]),ISBLANK(EC_comparison[[#This Row],[Minesweeper]]))</f>
        <v>0</v>
      </c>
    </row>
    <row r="94" spans="1:10" x14ac:dyDescent="0.25">
      <c r="A94" t="s">
        <v>48</v>
      </c>
      <c r="E94" t="b">
        <f t="shared" si="2"/>
        <v>0</v>
      </c>
      <c r="F94" t="b">
        <f t="shared" si="3"/>
        <v>0</v>
      </c>
      <c r="G94" t="b">
        <f>AND(NOT(ISBLANK(EC_comparison[[#This Row],[Aureus]])),ISBLANK(EC_comparison[[#This Row],[Genitalium]]),ISBLANK(EC_comparison[[#This Row],[Minesweeper]]),ISBLANK(EC_comparison[[#This Row],[Pneumoniae]]))</f>
        <v>1</v>
      </c>
      <c r="H94" t="b">
        <f>AND(NOT(ISBLANK(EC_comparison[[#This Row],[Genitalium]])),ISBLANK(EC_comparison[[#This Row],[Aureus]]),ISBLANK(EC_comparison[[#This Row],[Minesweeper]]),ISBLANK(EC_comparison[[#This Row],[Pneumoniae]]))</f>
        <v>0</v>
      </c>
      <c r="I94" t="b">
        <f>AND(NOT(ISBLANK(EC_comparison[[#This Row],[Minesweeper]])),ISBLANK(EC_comparison[[#This Row],[Aureus]]),ISBLANK(EC_comparison[[#This Row],[Genitalium]]),ISBLANK(EC_comparison[[#This Row],[Pneumoniae]]))</f>
        <v>0</v>
      </c>
      <c r="J94" t="b">
        <f>AND(NOT(ISBLANK(EC_comparison[[#This Row],[Pneumoniae]])),ISBLANK(EC_comparison[[#This Row],[Aureus]]),ISBLANK(EC_comparison[[#This Row],[Genitalium]]),ISBLANK(EC_comparison[[#This Row],[Minesweeper]]))</f>
        <v>0</v>
      </c>
    </row>
    <row r="95" spans="1:10" x14ac:dyDescent="0.25">
      <c r="A95" t="s">
        <v>67</v>
      </c>
      <c r="C95" t="s">
        <v>67</v>
      </c>
      <c r="D95" t="s">
        <v>67</v>
      </c>
      <c r="E95" t="b">
        <f t="shared" si="2"/>
        <v>0</v>
      </c>
      <c r="F95" t="b">
        <f t="shared" si="3"/>
        <v>0</v>
      </c>
      <c r="G95" t="b">
        <f>AND(NOT(ISBLANK(EC_comparison[[#This Row],[Aureus]])),ISBLANK(EC_comparison[[#This Row],[Genitalium]]),ISBLANK(EC_comparison[[#This Row],[Minesweeper]]),ISBLANK(EC_comparison[[#This Row],[Pneumoniae]]))</f>
        <v>0</v>
      </c>
      <c r="H95" t="b">
        <f>AND(NOT(ISBLANK(EC_comparison[[#This Row],[Genitalium]])),ISBLANK(EC_comparison[[#This Row],[Aureus]]),ISBLANK(EC_comparison[[#This Row],[Minesweeper]]),ISBLANK(EC_comparison[[#This Row],[Pneumoniae]]))</f>
        <v>0</v>
      </c>
      <c r="I95" t="b">
        <f>AND(NOT(ISBLANK(EC_comparison[[#This Row],[Minesweeper]])),ISBLANK(EC_comparison[[#This Row],[Aureus]]),ISBLANK(EC_comparison[[#This Row],[Genitalium]]),ISBLANK(EC_comparison[[#This Row],[Pneumoniae]]))</f>
        <v>0</v>
      </c>
      <c r="J95" t="b">
        <f>AND(NOT(ISBLANK(EC_comparison[[#This Row],[Pneumoniae]])),ISBLANK(EC_comparison[[#This Row],[Aureus]]),ISBLANK(EC_comparison[[#This Row],[Genitalium]]),ISBLANK(EC_comparison[[#This Row],[Minesweeper]]))</f>
        <v>0</v>
      </c>
    </row>
    <row r="96" spans="1:10" x14ac:dyDescent="0.25">
      <c r="A96" t="s">
        <v>111</v>
      </c>
      <c r="B96" t="s">
        <v>111</v>
      </c>
      <c r="D96" t="s">
        <v>111</v>
      </c>
      <c r="E96" t="b">
        <f t="shared" si="2"/>
        <v>0</v>
      </c>
      <c r="F96" t="b">
        <f t="shared" si="3"/>
        <v>0</v>
      </c>
      <c r="G96" t="b">
        <f>AND(NOT(ISBLANK(EC_comparison[[#This Row],[Aureus]])),ISBLANK(EC_comparison[[#This Row],[Genitalium]]),ISBLANK(EC_comparison[[#This Row],[Minesweeper]]),ISBLANK(EC_comparison[[#This Row],[Pneumoniae]]))</f>
        <v>0</v>
      </c>
      <c r="H96" t="b">
        <f>AND(NOT(ISBLANK(EC_comparison[[#This Row],[Genitalium]])),ISBLANK(EC_comparison[[#This Row],[Aureus]]),ISBLANK(EC_comparison[[#This Row],[Minesweeper]]),ISBLANK(EC_comparison[[#This Row],[Pneumoniae]]))</f>
        <v>0</v>
      </c>
      <c r="I96" t="b">
        <f>AND(NOT(ISBLANK(EC_comparison[[#This Row],[Minesweeper]])),ISBLANK(EC_comparison[[#This Row],[Aureus]]),ISBLANK(EC_comparison[[#This Row],[Genitalium]]),ISBLANK(EC_comparison[[#This Row],[Pneumoniae]]))</f>
        <v>0</v>
      </c>
      <c r="J96" t="b">
        <f>AND(NOT(ISBLANK(EC_comparison[[#This Row],[Pneumoniae]])),ISBLANK(EC_comparison[[#This Row],[Aureus]]),ISBLANK(EC_comparison[[#This Row],[Genitalium]]),ISBLANK(EC_comparison[[#This Row],[Minesweeper]]))</f>
        <v>0</v>
      </c>
    </row>
    <row r="97" spans="1:10" x14ac:dyDescent="0.25">
      <c r="B97" t="s">
        <v>150</v>
      </c>
      <c r="C97" t="s">
        <v>150</v>
      </c>
      <c r="D97" t="s">
        <v>150</v>
      </c>
      <c r="E97" t="b">
        <f t="shared" si="2"/>
        <v>0</v>
      </c>
      <c r="F97" t="b">
        <f t="shared" si="3"/>
        <v>1</v>
      </c>
      <c r="G97" t="b">
        <f>AND(NOT(ISBLANK(EC_comparison[[#This Row],[Aureus]])),ISBLANK(EC_comparison[[#This Row],[Genitalium]]),ISBLANK(EC_comparison[[#This Row],[Minesweeper]]),ISBLANK(EC_comparison[[#This Row],[Pneumoniae]]))</f>
        <v>0</v>
      </c>
      <c r="H97" t="b">
        <f>AND(NOT(ISBLANK(EC_comparison[[#This Row],[Genitalium]])),ISBLANK(EC_comparison[[#This Row],[Aureus]]),ISBLANK(EC_comparison[[#This Row],[Minesweeper]]),ISBLANK(EC_comparison[[#This Row],[Pneumoniae]]))</f>
        <v>0</v>
      </c>
      <c r="I97" t="b">
        <f>AND(NOT(ISBLANK(EC_comparison[[#This Row],[Minesweeper]])),ISBLANK(EC_comparison[[#This Row],[Aureus]]),ISBLANK(EC_comparison[[#This Row],[Genitalium]]),ISBLANK(EC_comparison[[#This Row],[Pneumoniae]]))</f>
        <v>0</v>
      </c>
      <c r="J97" t="b">
        <f>AND(NOT(ISBLANK(EC_comparison[[#This Row],[Pneumoniae]])),ISBLANK(EC_comparison[[#This Row],[Aureus]]),ISBLANK(EC_comparison[[#This Row],[Genitalium]]),ISBLANK(EC_comparison[[#This Row],[Minesweeper]]))</f>
        <v>0</v>
      </c>
    </row>
    <row r="98" spans="1:10" x14ac:dyDescent="0.25">
      <c r="D98" t="s">
        <v>9</v>
      </c>
      <c r="E98" t="b">
        <f t="shared" si="2"/>
        <v>0</v>
      </c>
      <c r="F98" t="b">
        <f t="shared" si="3"/>
        <v>0</v>
      </c>
      <c r="G98" t="b">
        <f>AND(NOT(ISBLANK(EC_comparison[[#This Row],[Aureus]])),ISBLANK(EC_comparison[[#This Row],[Genitalium]]),ISBLANK(EC_comparison[[#This Row],[Minesweeper]]),ISBLANK(EC_comparison[[#This Row],[Pneumoniae]]))</f>
        <v>0</v>
      </c>
      <c r="H98" t="b">
        <f>AND(NOT(ISBLANK(EC_comparison[[#This Row],[Genitalium]])),ISBLANK(EC_comparison[[#This Row],[Aureus]]),ISBLANK(EC_comparison[[#This Row],[Minesweeper]]),ISBLANK(EC_comparison[[#This Row],[Pneumoniae]]))</f>
        <v>0</v>
      </c>
      <c r="I98" t="b">
        <f>AND(NOT(ISBLANK(EC_comparison[[#This Row],[Minesweeper]])),ISBLANK(EC_comparison[[#This Row],[Aureus]]),ISBLANK(EC_comparison[[#This Row],[Genitalium]]),ISBLANK(EC_comparison[[#This Row],[Pneumoniae]]))</f>
        <v>0</v>
      </c>
      <c r="J98" t="b">
        <f>AND(NOT(ISBLANK(EC_comparison[[#This Row],[Pneumoniae]])),ISBLANK(EC_comparison[[#This Row],[Aureus]]),ISBLANK(EC_comparison[[#This Row],[Genitalium]]),ISBLANK(EC_comparison[[#This Row],[Minesweeper]]))</f>
        <v>1</v>
      </c>
    </row>
    <row r="99" spans="1:10" x14ac:dyDescent="0.25">
      <c r="B99" t="s">
        <v>157</v>
      </c>
      <c r="C99" t="s">
        <v>157</v>
      </c>
      <c r="E99" t="b">
        <f t="shared" si="2"/>
        <v>0</v>
      </c>
      <c r="F99" t="b">
        <f t="shared" si="3"/>
        <v>0</v>
      </c>
      <c r="G99" t="b">
        <f>AND(NOT(ISBLANK(EC_comparison[[#This Row],[Aureus]])),ISBLANK(EC_comparison[[#This Row],[Genitalium]]),ISBLANK(EC_comparison[[#This Row],[Minesweeper]]),ISBLANK(EC_comparison[[#This Row],[Pneumoniae]]))</f>
        <v>0</v>
      </c>
      <c r="H99" t="b">
        <f>AND(NOT(ISBLANK(EC_comparison[[#This Row],[Genitalium]])),ISBLANK(EC_comparison[[#This Row],[Aureus]]),ISBLANK(EC_comparison[[#This Row],[Minesweeper]]),ISBLANK(EC_comparison[[#This Row],[Pneumoniae]]))</f>
        <v>0</v>
      </c>
      <c r="I99" t="b">
        <f>AND(NOT(ISBLANK(EC_comparison[[#This Row],[Minesweeper]])),ISBLANK(EC_comparison[[#This Row],[Aureus]]),ISBLANK(EC_comparison[[#This Row],[Genitalium]]),ISBLANK(EC_comparison[[#This Row],[Pneumoniae]]))</f>
        <v>0</v>
      </c>
      <c r="J99" t="b">
        <f>AND(NOT(ISBLANK(EC_comparison[[#This Row],[Pneumoniae]])),ISBLANK(EC_comparison[[#This Row],[Aureus]]),ISBLANK(EC_comparison[[#This Row],[Genitalium]]),ISBLANK(EC_comparison[[#This Row],[Minesweeper]]))</f>
        <v>0</v>
      </c>
    </row>
    <row r="100" spans="1:10" x14ac:dyDescent="0.25">
      <c r="A100" t="s">
        <v>9</v>
      </c>
      <c r="B100" t="s">
        <v>9</v>
      </c>
      <c r="C100" t="s">
        <v>9</v>
      </c>
      <c r="E100" t="b">
        <f t="shared" si="2"/>
        <v>0</v>
      </c>
      <c r="F100" t="b">
        <f t="shared" si="3"/>
        <v>0</v>
      </c>
      <c r="G100" t="b">
        <f>AND(NOT(ISBLANK(EC_comparison[[#This Row],[Aureus]])),ISBLANK(EC_comparison[[#This Row],[Genitalium]]),ISBLANK(EC_comparison[[#This Row],[Minesweeper]]),ISBLANK(EC_comparison[[#This Row],[Pneumoniae]]))</f>
        <v>0</v>
      </c>
      <c r="H100" t="b">
        <f>AND(NOT(ISBLANK(EC_comparison[[#This Row],[Genitalium]])),ISBLANK(EC_comparison[[#This Row],[Aureus]]),ISBLANK(EC_comparison[[#This Row],[Minesweeper]]),ISBLANK(EC_comparison[[#This Row],[Pneumoniae]]))</f>
        <v>0</v>
      </c>
      <c r="I100" t="b">
        <f>AND(NOT(ISBLANK(EC_comparison[[#This Row],[Minesweeper]])),ISBLANK(EC_comparison[[#This Row],[Aureus]]),ISBLANK(EC_comparison[[#This Row],[Genitalium]]),ISBLANK(EC_comparison[[#This Row],[Pneumoniae]]))</f>
        <v>0</v>
      </c>
      <c r="J100" t="b">
        <f>AND(NOT(ISBLANK(EC_comparison[[#This Row],[Pneumoniae]])),ISBLANK(EC_comparison[[#This Row],[Aureus]]),ISBLANK(EC_comparison[[#This Row],[Genitalium]]),ISBLANK(EC_comparison[[#This Row],[Minesweeper]]))</f>
        <v>0</v>
      </c>
    </row>
    <row r="101" spans="1:10" x14ac:dyDescent="0.25">
      <c r="B101" t="s">
        <v>152</v>
      </c>
      <c r="C101" t="s">
        <v>152</v>
      </c>
      <c r="D101" t="s">
        <v>152</v>
      </c>
      <c r="E101" t="b">
        <f t="shared" si="2"/>
        <v>0</v>
      </c>
      <c r="F101" t="b">
        <f t="shared" si="3"/>
        <v>1</v>
      </c>
      <c r="G101" t="b">
        <f>AND(NOT(ISBLANK(EC_comparison[[#This Row],[Aureus]])),ISBLANK(EC_comparison[[#This Row],[Genitalium]]),ISBLANK(EC_comparison[[#This Row],[Minesweeper]]),ISBLANK(EC_comparison[[#This Row],[Pneumoniae]]))</f>
        <v>0</v>
      </c>
      <c r="H101" t="b">
        <f>AND(NOT(ISBLANK(EC_comparison[[#This Row],[Genitalium]])),ISBLANK(EC_comparison[[#This Row],[Aureus]]),ISBLANK(EC_comparison[[#This Row],[Minesweeper]]),ISBLANK(EC_comparison[[#This Row],[Pneumoniae]]))</f>
        <v>0</v>
      </c>
      <c r="I101" t="b">
        <f>AND(NOT(ISBLANK(EC_comparison[[#This Row],[Minesweeper]])),ISBLANK(EC_comparison[[#This Row],[Aureus]]),ISBLANK(EC_comparison[[#This Row],[Genitalium]]),ISBLANK(EC_comparison[[#This Row],[Pneumoniae]]))</f>
        <v>0</v>
      </c>
      <c r="J101" t="b">
        <f>AND(NOT(ISBLANK(EC_comparison[[#This Row],[Pneumoniae]])),ISBLANK(EC_comparison[[#This Row],[Aureus]]),ISBLANK(EC_comparison[[#This Row],[Genitalium]]),ISBLANK(EC_comparison[[#This Row],[Minesweeper]]))</f>
        <v>0</v>
      </c>
    </row>
    <row r="102" spans="1:10" x14ac:dyDescent="0.25">
      <c r="B102" t="s">
        <v>145</v>
      </c>
      <c r="D102" t="s">
        <v>145</v>
      </c>
      <c r="E102" t="b">
        <f t="shared" si="2"/>
        <v>0</v>
      </c>
      <c r="F102" t="b">
        <f t="shared" si="3"/>
        <v>0</v>
      </c>
      <c r="G102" t="b">
        <f>AND(NOT(ISBLANK(EC_comparison[[#This Row],[Aureus]])),ISBLANK(EC_comparison[[#This Row],[Genitalium]]),ISBLANK(EC_comparison[[#This Row],[Minesweeper]]),ISBLANK(EC_comparison[[#This Row],[Pneumoniae]]))</f>
        <v>0</v>
      </c>
      <c r="H102" t="b">
        <f>AND(NOT(ISBLANK(EC_comparison[[#This Row],[Genitalium]])),ISBLANK(EC_comparison[[#This Row],[Aureus]]),ISBLANK(EC_comparison[[#This Row],[Minesweeper]]),ISBLANK(EC_comparison[[#This Row],[Pneumoniae]]))</f>
        <v>0</v>
      </c>
      <c r="I102" t="b">
        <f>AND(NOT(ISBLANK(EC_comparison[[#This Row],[Minesweeper]])),ISBLANK(EC_comparison[[#This Row],[Aureus]]),ISBLANK(EC_comparison[[#This Row],[Genitalium]]),ISBLANK(EC_comparison[[#This Row],[Pneumoniae]]))</f>
        <v>0</v>
      </c>
      <c r="J102" t="b">
        <f>AND(NOT(ISBLANK(EC_comparison[[#This Row],[Pneumoniae]])),ISBLANK(EC_comparison[[#This Row],[Aureus]]),ISBLANK(EC_comparison[[#This Row],[Genitalium]]),ISBLANK(EC_comparison[[#This Row],[Minesweeper]]))</f>
        <v>0</v>
      </c>
    </row>
    <row r="103" spans="1:10" x14ac:dyDescent="0.25">
      <c r="B103" t="s">
        <v>141</v>
      </c>
      <c r="D103" t="s">
        <v>141</v>
      </c>
      <c r="E103" t="b">
        <f t="shared" si="2"/>
        <v>0</v>
      </c>
      <c r="F103" t="b">
        <f t="shared" si="3"/>
        <v>0</v>
      </c>
      <c r="G103" t="b">
        <f>AND(NOT(ISBLANK(EC_comparison[[#This Row],[Aureus]])),ISBLANK(EC_comparison[[#This Row],[Genitalium]]),ISBLANK(EC_comparison[[#This Row],[Minesweeper]]),ISBLANK(EC_comparison[[#This Row],[Pneumoniae]]))</f>
        <v>0</v>
      </c>
      <c r="H103" t="b">
        <f>AND(NOT(ISBLANK(EC_comparison[[#This Row],[Genitalium]])),ISBLANK(EC_comparison[[#This Row],[Aureus]]),ISBLANK(EC_comparison[[#This Row],[Minesweeper]]),ISBLANK(EC_comparison[[#This Row],[Pneumoniae]]))</f>
        <v>0</v>
      </c>
      <c r="I103" t="b">
        <f>AND(NOT(ISBLANK(EC_comparison[[#This Row],[Minesweeper]])),ISBLANK(EC_comparison[[#This Row],[Aureus]]),ISBLANK(EC_comparison[[#This Row],[Genitalium]]),ISBLANK(EC_comparison[[#This Row],[Pneumoniae]]))</f>
        <v>0</v>
      </c>
      <c r="J103" t="b">
        <f>AND(NOT(ISBLANK(EC_comparison[[#This Row],[Pneumoniae]])),ISBLANK(EC_comparison[[#This Row],[Aureus]]),ISBLANK(EC_comparison[[#This Row],[Genitalium]]),ISBLANK(EC_comparison[[#This Row],[Minesweeper]]))</f>
        <v>0</v>
      </c>
    </row>
    <row r="104" spans="1:10" x14ac:dyDescent="0.25">
      <c r="A104" t="s">
        <v>41</v>
      </c>
      <c r="B104" t="s">
        <v>41</v>
      </c>
      <c r="C104" t="s">
        <v>41</v>
      </c>
      <c r="D104" t="s">
        <v>41</v>
      </c>
      <c r="E104" t="b">
        <f t="shared" si="2"/>
        <v>1</v>
      </c>
      <c r="F104" t="b">
        <f t="shared" si="3"/>
        <v>1</v>
      </c>
      <c r="G104" t="b">
        <f>AND(NOT(ISBLANK(EC_comparison[[#This Row],[Aureus]])),ISBLANK(EC_comparison[[#This Row],[Genitalium]]),ISBLANK(EC_comparison[[#This Row],[Minesweeper]]),ISBLANK(EC_comparison[[#This Row],[Pneumoniae]]))</f>
        <v>0</v>
      </c>
      <c r="H104" t="b">
        <f>AND(NOT(ISBLANK(EC_comparison[[#This Row],[Genitalium]])),ISBLANK(EC_comparison[[#This Row],[Aureus]]),ISBLANK(EC_comparison[[#This Row],[Minesweeper]]),ISBLANK(EC_comparison[[#This Row],[Pneumoniae]]))</f>
        <v>0</v>
      </c>
      <c r="I104" t="b">
        <f>AND(NOT(ISBLANK(EC_comparison[[#This Row],[Minesweeper]])),ISBLANK(EC_comparison[[#This Row],[Aureus]]),ISBLANK(EC_comparison[[#This Row],[Genitalium]]),ISBLANK(EC_comparison[[#This Row],[Pneumoniae]]))</f>
        <v>0</v>
      </c>
      <c r="J104" t="b">
        <f>AND(NOT(ISBLANK(EC_comparison[[#This Row],[Pneumoniae]])),ISBLANK(EC_comparison[[#This Row],[Aureus]]),ISBLANK(EC_comparison[[#This Row],[Genitalium]]),ISBLANK(EC_comparison[[#This Row],[Minesweeper]]))</f>
        <v>0</v>
      </c>
    </row>
    <row r="105" spans="1:10" x14ac:dyDescent="0.25">
      <c r="A105" t="s">
        <v>52</v>
      </c>
      <c r="E105" t="b">
        <f t="shared" si="2"/>
        <v>0</v>
      </c>
      <c r="F105" t="b">
        <f t="shared" si="3"/>
        <v>0</v>
      </c>
      <c r="G105" t="b">
        <f>AND(NOT(ISBLANK(EC_comparison[[#This Row],[Aureus]])),ISBLANK(EC_comparison[[#This Row],[Genitalium]]),ISBLANK(EC_comparison[[#This Row],[Minesweeper]]),ISBLANK(EC_comparison[[#This Row],[Pneumoniae]]))</f>
        <v>1</v>
      </c>
      <c r="H105" t="b">
        <f>AND(NOT(ISBLANK(EC_comparison[[#This Row],[Genitalium]])),ISBLANK(EC_comparison[[#This Row],[Aureus]]),ISBLANK(EC_comparison[[#This Row],[Minesweeper]]),ISBLANK(EC_comparison[[#This Row],[Pneumoniae]]))</f>
        <v>0</v>
      </c>
      <c r="I105" t="b">
        <f>AND(NOT(ISBLANK(EC_comparison[[#This Row],[Minesweeper]])),ISBLANK(EC_comparison[[#This Row],[Aureus]]),ISBLANK(EC_comparison[[#This Row],[Genitalium]]),ISBLANK(EC_comparison[[#This Row],[Pneumoniae]]))</f>
        <v>0</v>
      </c>
      <c r="J105" t="b">
        <f>AND(NOT(ISBLANK(EC_comparison[[#This Row],[Pneumoniae]])),ISBLANK(EC_comparison[[#This Row],[Aureus]]),ISBLANK(EC_comparison[[#This Row],[Genitalium]]),ISBLANK(EC_comparison[[#This Row],[Minesweeper]]))</f>
        <v>0</v>
      </c>
    </row>
    <row r="106" spans="1:10" x14ac:dyDescent="0.25">
      <c r="A106" t="s">
        <v>119</v>
      </c>
      <c r="E106" t="b">
        <f t="shared" si="2"/>
        <v>0</v>
      </c>
      <c r="F106" t="b">
        <f t="shared" si="3"/>
        <v>0</v>
      </c>
      <c r="G106" t="b">
        <f>AND(NOT(ISBLANK(EC_comparison[[#This Row],[Aureus]])),ISBLANK(EC_comparison[[#This Row],[Genitalium]]),ISBLANK(EC_comparison[[#This Row],[Minesweeper]]),ISBLANK(EC_comparison[[#This Row],[Pneumoniae]]))</f>
        <v>1</v>
      </c>
      <c r="H106" t="b">
        <f>AND(NOT(ISBLANK(EC_comparison[[#This Row],[Genitalium]])),ISBLANK(EC_comparison[[#This Row],[Aureus]]),ISBLANK(EC_comparison[[#This Row],[Minesweeper]]),ISBLANK(EC_comparison[[#This Row],[Pneumoniae]]))</f>
        <v>0</v>
      </c>
      <c r="I106" t="b">
        <f>AND(NOT(ISBLANK(EC_comparison[[#This Row],[Minesweeper]])),ISBLANK(EC_comparison[[#This Row],[Aureus]]),ISBLANK(EC_comparison[[#This Row],[Genitalium]]),ISBLANK(EC_comparison[[#This Row],[Pneumoniae]]))</f>
        <v>0</v>
      </c>
      <c r="J106" t="b">
        <f>AND(NOT(ISBLANK(EC_comparison[[#This Row],[Pneumoniae]])),ISBLANK(EC_comparison[[#This Row],[Aureus]]),ISBLANK(EC_comparison[[#This Row],[Genitalium]]),ISBLANK(EC_comparison[[#This Row],[Minesweeper]]))</f>
        <v>0</v>
      </c>
    </row>
    <row r="107" spans="1:10" x14ac:dyDescent="0.25">
      <c r="A107" t="s">
        <v>86</v>
      </c>
      <c r="B107" t="s">
        <v>86</v>
      </c>
      <c r="C107" t="s">
        <v>86</v>
      </c>
      <c r="E107" t="b">
        <f t="shared" si="2"/>
        <v>0</v>
      </c>
      <c r="F107" t="b">
        <f t="shared" si="3"/>
        <v>0</v>
      </c>
      <c r="G107" t="b">
        <f>AND(NOT(ISBLANK(EC_comparison[[#This Row],[Aureus]])),ISBLANK(EC_comparison[[#This Row],[Genitalium]]),ISBLANK(EC_comparison[[#This Row],[Minesweeper]]),ISBLANK(EC_comparison[[#This Row],[Pneumoniae]]))</f>
        <v>0</v>
      </c>
      <c r="H107" t="b">
        <f>AND(NOT(ISBLANK(EC_comparison[[#This Row],[Genitalium]])),ISBLANK(EC_comparison[[#This Row],[Aureus]]),ISBLANK(EC_comparison[[#This Row],[Minesweeper]]),ISBLANK(EC_comparison[[#This Row],[Pneumoniae]]))</f>
        <v>0</v>
      </c>
      <c r="I107" t="b">
        <f>AND(NOT(ISBLANK(EC_comparison[[#This Row],[Minesweeper]])),ISBLANK(EC_comparison[[#This Row],[Aureus]]),ISBLANK(EC_comparison[[#This Row],[Genitalium]]),ISBLANK(EC_comparison[[#This Row],[Pneumoniae]]))</f>
        <v>0</v>
      </c>
      <c r="J107" t="b">
        <f>AND(NOT(ISBLANK(EC_comparison[[#This Row],[Pneumoniae]])),ISBLANK(EC_comparison[[#This Row],[Aureus]]),ISBLANK(EC_comparison[[#This Row],[Genitalium]]),ISBLANK(EC_comparison[[#This Row],[Minesweeper]]))</f>
        <v>0</v>
      </c>
    </row>
    <row r="108" spans="1:10" x14ac:dyDescent="0.25">
      <c r="A108" t="s">
        <v>110</v>
      </c>
      <c r="E108" t="b">
        <f t="shared" si="2"/>
        <v>0</v>
      </c>
      <c r="F108" t="b">
        <f t="shared" si="3"/>
        <v>0</v>
      </c>
      <c r="G108" t="b">
        <f>AND(NOT(ISBLANK(EC_comparison[[#This Row],[Aureus]])),ISBLANK(EC_comparison[[#This Row],[Genitalium]]),ISBLANK(EC_comparison[[#This Row],[Minesweeper]]),ISBLANK(EC_comparison[[#This Row],[Pneumoniae]]))</f>
        <v>1</v>
      </c>
      <c r="H108" t="b">
        <f>AND(NOT(ISBLANK(EC_comparison[[#This Row],[Genitalium]])),ISBLANK(EC_comparison[[#This Row],[Aureus]]),ISBLANK(EC_comparison[[#This Row],[Minesweeper]]),ISBLANK(EC_comparison[[#This Row],[Pneumoniae]]))</f>
        <v>0</v>
      </c>
      <c r="I108" t="b">
        <f>AND(NOT(ISBLANK(EC_comparison[[#This Row],[Minesweeper]])),ISBLANK(EC_comparison[[#This Row],[Aureus]]),ISBLANK(EC_comparison[[#This Row],[Genitalium]]),ISBLANK(EC_comparison[[#This Row],[Pneumoniae]]))</f>
        <v>0</v>
      </c>
      <c r="J108" t="b">
        <f>AND(NOT(ISBLANK(EC_comparison[[#This Row],[Pneumoniae]])),ISBLANK(EC_comparison[[#This Row],[Aureus]]),ISBLANK(EC_comparison[[#This Row],[Genitalium]]),ISBLANK(EC_comparison[[#This Row],[Minesweeper]]))</f>
        <v>0</v>
      </c>
    </row>
    <row r="109" spans="1:10" x14ac:dyDescent="0.25">
      <c r="B109" t="s">
        <v>151</v>
      </c>
      <c r="D109" t="s">
        <v>151</v>
      </c>
      <c r="E109" t="b">
        <f t="shared" si="2"/>
        <v>0</v>
      </c>
      <c r="F109" t="b">
        <f t="shared" si="3"/>
        <v>0</v>
      </c>
      <c r="G109" t="b">
        <f>AND(NOT(ISBLANK(EC_comparison[[#This Row],[Aureus]])),ISBLANK(EC_comparison[[#This Row],[Genitalium]]),ISBLANK(EC_comparison[[#This Row],[Minesweeper]]),ISBLANK(EC_comparison[[#This Row],[Pneumoniae]]))</f>
        <v>0</v>
      </c>
      <c r="H109" t="b">
        <f>AND(NOT(ISBLANK(EC_comparison[[#This Row],[Genitalium]])),ISBLANK(EC_comparison[[#This Row],[Aureus]]),ISBLANK(EC_comparison[[#This Row],[Minesweeper]]),ISBLANK(EC_comparison[[#This Row],[Pneumoniae]]))</f>
        <v>0</v>
      </c>
      <c r="I109" t="b">
        <f>AND(NOT(ISBLANK(EC_comparison[[#This Row],[Minesweeper]])),ISBLANK(EC_comparison[[#This Row],[Aureus]]),ISBLANK(EC_comparison[[#This Row],[Genitalium]]),ISBLANK(EC_comparison[[#This Row],[Pneumoniae]]))</f>
        <v>0</v>
      </c>
      <c r="J109" t="b">
        <f>AND(NOT(ISBLANK(EC_comparison[[#This Row],[Pneumoniae]])),ISBLANK(EC_comparison[[#This Row],[Aureus]]),ISBLANK(EC_comparison[[#This Row],[Genitalium]]),ISBLANK(EC_comparison[[#This Row],[Minesweeper]]))</f>
        <v>0</v>
      </c>
    </row>
    <row r="110" spans="1:10" x14ac:dyDescent="0.25">
      <c r="A110" t="s">
        <v>18</v>
      </c>
      <c r="E110" t="b">
        <f t="shared" si="2"/>
        <v>0</v>
      </c>
      <c r="F110" t="b">
        <f t="shared" si="3"/>
        <v>0</v>
      </c>
      <c r="G110" t="b">
        <f>AND(NOT(ISBLANK(EC_comparison[[#This Row],[Aureus]])),ISBLANK(EC_comparison[[#This Row],[Genitalium]]),ISBLANK(EC_comparison[[#This Row],[Minesweeper]]),ISBLANK(EC_comparison[[#This Row],[Pneumoniae]]))</f>
        <v>1</v>
      </c>
      <c r="H110" t="b">
        <f>AND(NOT(ISBLANK(EC_comparison[[#This Row],[Genitalium]])),ISBLANK(EC_comparison[[#This Row],[Aureus]]),ISBLANK(EC_comparison[[#This Row],[Minesweeper]]),ISBLANK(EC_comparison[[#This Row],[Pneumoniae]]))</f>
        <v>0</v>
      </c>
      <c r="I110" t="b">
        <f>AND(NOT(ISBLANK(EC_comparison[[#This Row],[Minesweeper]])),ISBLANK(EC_comparison[[#This Row],[Aureus]]),ISBLANK(EC_comparison[[#This Row],[Genitalium]]),ISBLANK(EC_comparison[[#This Row],[Pneumoniae]]))</f>
        <v>0</v>
      </c>
      <c r="J110" t="b">
        <f>AND(NOT(ISBLANK(EC_comparison[[#This Row],[Pneumoniae]])),ISBLANK(EC_comparison[[#This Row],[Aureus]]),ISBLANK(EC_comparison[[#This Row],[Genitalium]]),ISBLANK(EC_comparison[[#This Row],[Minesweeper]]))</f>
        <v>0</v>
      </c>
    </row>
    <row r="111" spans="1:10" x14ac:dyDescent="0.25">
      <c r="A111" t="s">
        <v>54</v>
      </c>
      <c r="E111" t="b">
        <f t="shared" si="2"/>
        <v>0</v>
      </c>
      <c r="F111" t="b">
        <f t="shared" si="3"/>
        <v>0</v>
      </c>
      <c r="G111" t="b">
        <f>AND(NOT(ISBLANK(EC_comparison[[#This Row],[Aureus]])),ISBLANK(EC_comparison[[#This Row],[Genitalium]]),ISBLANK(EC_comparison[[#This Row],[Minesweeper]]),ISBLANK(EC_comparison[[#This Row],[Pneumoniae]]))</f>
        <v>1</v>
      </c>
      <c r="H111" t="b">
        <f>AND(NOT(ISBLANK(EC_comparison[[#This Row],[Genitalium]])),ISBLANK(EC_comparison[[#This Row],[Aureus]]),ISBLANK(EC_comparison[[#This Row],[Minesweeper]]),ISBLANK(EC_comparison[[#This Row],[Pneumoniae]]))</f>
        <v>0</v>
      </c>
      <c r="I111" t="b">
        <f>AND(NOT(ISBLANK(EC_comparison[[#This Row],[Minesweeper]])),ISBLANK(EC_comparison[[#This Row],[Aureus]]),ISBLANK(EC_comparison[[#This Row],[Genitalium]]),ISBLANK(EC_comparison[[#This Row],[Pneumoniae]]))</f>
        <v>0</v>
      </c>
      <c r="J111" t="b">
        <f>AND(NOT(ISBLANK(EC_comparison[[#This Row],[Pneumoniae]])),ISBLANK(EC_comparison[[#This Row],[Aureus]]),ISBLANK(EC_comparison[[#This Row],[Genitalium]]),ISBLANK(EC_comparison[[#This Row],[Minesweeper]]))</f>
        <v>0</v>
      </c>
    </row>
    <row r="112" spans="1:10" x14ac:dyDescent="0.25">
      <c r="A112" t="s">
        <v>20</v>
      </c>
      <c r="E112" t="b">
        <f t="shared" si="2"/>
        <v>0</v>
      </c>
      <c r="F112" t="b">
        <f t="shared" si="3"/>
        <v>0</v>
      </c>
      <c r="G112" t="b">
        <f>AND(NOT(ISBLANK(EC_comparison[[#This Row],[Aureus]])),ISBLANK(EC_comparison[[#This Row],[Genitalium]]),ISBLANK(EC_comparison[[#This Row],[Minesweeper]]),ISBLANK(EC_comparison[[#This Row],[Pneumoniae]]))</f>
        <v>1</v>
      </c>
      <c r="H112" t="b">
        <f>AND(NOT(ISBLANK(EC_comparison[[#This Row],[Genitalium]])),ISBLANK(EC_comparison[[#This Row],[Aureus]]),ISBLANK(EC_comparison[[#This Row],[Minesweeper]]),ISBLANK(EC_comparison[[#This Row],[Pneumoniae]]))</f>
        <v>0</v>
      </c>
      <c r="I112" t="b">
        <f>AND(NOT(ISBLANK(EC_comparison[[#This Row],[Minesweeper]])),ISBLANK(EC_comparison[[#This Row],[Aureus]]),ISBLANK(EC_comparison[[#This Row],[Genitalium]]),ISBLANK(EC_comparison[[#This Row],[Pneumoniae]]))</f>
        <v>0</v>
      </c>
      <c r="J112" t="b">
        <f>AND(NOT(ISBLANK(EC_comparison[[#This Row],[Pneumoniae]])),ISBLANK(EC_comparison[[#This Row],[Aureus]]),ISBLANK(EC_comparison[[#This Row],[Genitalium]]),ISBLANK(EC_comparison[[#This Row],[Minesweeper]]))</f>
        <v>0</v>
      </c>
    </row>
    <row r="113" spans="1:10" x14ac:dyDescent="0.25">
      <c r="A113" t="s">
        <v>106</v>
      </c>
      <c r="E113" t="b">
        <f t="shared" si="2"/>
        <v>0</v>
      </c>
      <c r="F113" t="b">
        <f t="shared" si="3"/>
        <v>0</v>
      </c>
      <c r="G113" t="b">
        <f>AND(NOT(ISBLANK(EC_comparison[[#This Row],[Aureus]])),ISBLANK(EC_comparison[[#This Row],[Genitalium]]),ISBLANK(EC_comparison[[#This Row],[Minesweeper]]),ISBLANK(EC_comparison[[#This Row],[Pneumoniae]]))</f>
        <v>1</v>
      </c>
      <c r="H113" t="b">
        <f>AND(NOT(ISBLANK(EC_comparison[[#This Row],[Genitalium]])),ISBLANK(EC_comparison[[#This Row],[Aureus]]),ISBLANK(EC_comparison[[#This Row],[Minesweeper]]),ISBLANK(EC_comparison[[#This Row],[Pneumoniae]]))</f>
        <v>0</v>
      </c>
      <c r="I113" t="b">
        <f>AND(NOT(ISBLANK(EC_comparison[[#This Row],[Minesweeper]])),ISBLANK(EC_comparison[[#This Row],[Aureus]]),ISBLANK(EC_comparison[[#This Row],[Genitalium]]),ISBLANK(EC_comparison[[#This Row],[Pneumoniae]]))</f>
        <v>0</v>
      </c>
      <c r="J113" t="b">
        <f>AND(NOT(ISBLANK(EC_comparison[[#This Row],[Pneumoniae]])),ISBLANK(EC_comparison[[#This Row],[Aureus]]),ISBLANK(EC_comparison[[#This Row],[Genitalium]]),ISBLANK(EC_comparison[[#This Row],[Minesweeper]]))</f>
        <v>0</v>
      </c>
    </row>
    <row r="114" spans="1:10" x14ac:dyDescent="0.25">
      <c r="A114" t="s">
        <v>39</v>
      </c>
      <c r="E114" t="b">
        <f t="shared" si="2"/>
        <v>0</v>
      </c>
      <c r="F114" t="b">
        <f t="shared" si="3"/>
        <v>0</v>
      </c>
      <c r="G114" t="b">
        <f>AND(NOT(ISBLANK(EC_comparison[[#This Row],[Aureus]])),ISBLANK(EC_comparison[[#This Row],[Genitalium]]),ISBLANK(EC_comparison[[#This Row],[Minesweeper]]),ISBLANK(EC_comparison[[#This Row],[Pneumoniae]]))</f>
        <v>1</v>
      </c>
      <c r="H114" t="b">
        <f>AND(NOT(ISBLANK(EC_comparison[[#This Row],[Genitalium]])),ISBLANK(EC_comparison[[#This Row],[Aureus]]),ISBLANK(EC_comparison[[#This Row],[Minesweeper]]),ISBLANK(EC_comparison[[#This Row],[Pneumoniae]]))</f>
        <v>0</v>
      </c>
      <c r="I114" t="b">
        <f>AND(NOT(ISBLANK(EC_comparison[[#This Row],[Minesweeper]])),ISBLANK(EC_comparison[[#This Row],[Aureus]]),ISBLANK(EC_comparison[[#This Row],[Genitalium]]),ISBLANK(EC_comparison[[#This Row],[Pneumoniae]]))</f>
        <v>0</v>
      </c>
      <c r="J114" t="b">
        <f>AND(NOT(ISBLANK(EC_comparison[[#This Row],[Pneumoniae]])),ISBLANK(EC_comparison[[#This Row],[Aureus]]),ISBLANK(EC_comparison[[#This Row],[Genitalium]]),ISBLANK(EC_comparison[[#This Row],[Minesweeper]]))</f>
        <v>0</v>
      </c>
    </row>
    <row r="115" spans="1:10" x14ac:dyDescent="0.25">
      <c r="A115" t="s">
        <v>114</v>
      </c>
      <c r="B115" t="s">
        <v>114</v>
      </c>
      <c r="C115" t="s">
        <v>114</v>
      </c>
      <c r="D115" t="s">
        <v>114</v>
      </c>
      <c r="E115" t="b">
        <f t="shared" si="2"/>
        <v>1</v>
      </c>
      <c r="F115" t="b">
        <f t="shared" si="3"/>
        <v>1</v>
      </c>
      <c r="G115" t="b">
        <f>AND(NOT(ISBLANK(EC_comparison[[#This Row],[Aureus]])),ISBLANK(EC_comparison[[#This Row],[Genitalium]]),ISBLANK(EC_comparison[[#This Row],[Minesweeper]]),ISBLANK(EC_comparison[[#This Row],[Pneumoniae]]))</f>
        <v>0</v>
      </c>
      <c r="H115" t="b">
        <f>AND(NOT(ISBLANK(EC_comparison[[#This Row],[Genitalium]])),ISBLANK(EC_comparison[[#This Row],[Aureus]]),ISBLANK(EC_comparison[[#This Row],[Minesweeper]]),ISBLANK(EC_comparison[[#This Row],[Pneumoniae]]))</f>
        <v>0</v>
      </c>
      <c r="I115" t="b">
        <f>AND(NOT(ISBLANK(EC_comparison[[#This Row],[Minesweeper]])),ISBLANK(EC_comparison[[#This Row],[Aureus]]),ISBLANK(EC_comparison[[#This Row],[Genitalium]]),ISBLANK(EC_comparison[[#This Row],[Pneumoniae]]))</f>
        <v>0</v>
      </c>
      <c r="J115" t="b">
        <f>AND(NOT(ISBLANK(EC_comparison[[#This Row],[Pneumoniae]])),ISBLANK(EC_comparison[[#This Row],[Aureus]]),ISBLANK(EC_comparison[[#This Row],[Genitalium]]),ISBLANK(EC_comparison[[#This Row],[Minesweeper]]))</f>
        <v>0</v>
      </c>
    </row>
    <row r="116" spans="1:10" x14ac:dyDescent="0.25">
      <c r="A116" t="s">
        <v>12</v>
      </c>
      <c r="E116" t="b">
        <f t="shared" si="2"/>
        <v>0</v>
      </c>
      <c r="F116" t="b">
        <f t="shared" si="3"/>
        <v>0</v>
      </c>
      <c r="G116" t="b">
        <f>AND(NOT(ISBLANK(EC_comparison[[#This Row],[Aureus]])),ISBLANK(EC_comparison[[#This Row],[Genitalium]]),ISBLANK(EC_comparison[[#This Row],[Minesweeper]]),ISBLANK(EC_comparison[[#This Row],[Pneumoniae]]))</f>
        <v>1</v>
      </c>
      <c r="H116" t="b">
        <f>AND(NOT(ISBLANK(EC_comparison[[#This Row],[Genitalium]])),ISBLANK(EC_comparison[[#This Row],[Aureus]]),ISBLANK(EC_comparison[[#This Row],[Minesweeper]]),ISBLANK(EC_comparison[[#This Row],[Pneumoniae]]))</f>
        <v>0</v>
      </c>
      <c r="I116" t="b">
        <f>AND(NOT(ISBLANK(EC_comparison[[#This Row],[Minesweeper]])),ISBLANK(EC_comparison[[#This Row],[Aureus]]),ISBLANK(EC_comparison[[#This Row],[Genitalium]]),ISBLANK(EC_comparison[[#This Row],[Pneumoniae]]))</f>
        <v>0</v>
      </c>
      <c r="J116" t="b">
        <f>AND(NOT(ISBLANK(EC_comparison[[#This Row],[Pneumoniae]])),ISBLANK(EC_comparison[[#This Row],[Aureus]]),ISBLANK(EC_comparison[[#This Row],[Genitalium]]),ISBLANK(EC_comparison[[#This Row],[Minesweeper]]))</f>
        <v>0</v>
      </c>
    </row>
    <row r="117" spans="1:10" x14ac:dyDescent="0.25">
      <c r="B117" t="s">
        <v>133</v>
      </c>
      <c r="C117" t="s">
        <v>133</v>
      </c>
      <c r="D117" t="s">
        <v>133</v>
      </c>
      <c r="E117" t="b">
        <f t="shared" si="2"/>
        <v>0</v>
      </c>
      <c r="F117" t="b">
        <f t="shared" si="3"/>
        <v>1</v>
      </c>
      <c r="G117" t="b">
        <f>AND(NOT(ISBLANK(EC_comparison[[#This Row],[Aureus]])),ISBLANK(EC_comparison[[#This Row],[Genitalium]]),ISBLANK(EC_comparison[[#This Row],[Minesweeper]]),ISBLANK(EC_comparison[[#This Row],[Pneumoniae]]))</f>
        <v>0</v>
      </c>
      <c r="H117" t="b">
        <f>AND(NOT(ISBLANK(EC_comparison[[#This Row],[Genitalium]])),ISBLANK(EC_comparison[[#This Row],[Aureus]]),ISBLANK(EC_comparison[[#This Row],[Minesweeper]]),ISBLANK(EC_comparison[[#This Row],[Pneumoniae]]))</f>
        <v>0</v>
      </c>
      <c r="I117" t="b">
        <f>AND(NOT(ISBLANK(EC_comparison[[#This Row],[Minesweeper]])),ISBLANK(EC_comparison[[#This Row],[Aureus]]),ISBLANK(EC_comparison[[#This Row],[Genitalium]]),ISBLANK(EC_comparison[[#This Row],[Pneumoniae]]))</f>
        <v>0</v>
      </c>
      <c r="J117" t="b">
        <f>AND(NOT(ISBLANK(EC_comparison[[#This Row],[Pneumoniae]])),ISBLANK(EC_comparison[[#This Row],[Aureus]]),ISBLANK(EC_comparison[[#This Row],[Genitalium]]),ISBLANK(EC_comparison[[#This Row],[Minesweeper]]))</f>
        <v>0</v>
      </c>
    </row>
    <row r="118" spans="1:10" x14ac:dyDescent="0.25">
      <c r="A118" t="s">
        <v>40</v>
      </c>
      <c r="E118" t="b">
        <f t="shared" si="2"/>
        <v>0</v>
      </c>
      <c r="F118" t="b">
        <f t="shared" si="3"/>
        <v>0</v>
      </c>
      <c r="G118" t="b">
        <f>AND(NOT(ISBLANK(EC_comparison[[#This Row],[Aureus]])),ISBLANK(EC_comparison[[#This Row],[Genitalium]]),ISBLANK(EC_comparison[[#This Row],[Minesweeper]]),ISBLANK(EC_comparison[[#This Row],[Pneumoniae]]))</f>
        <v>1</v>
      </c>
      <c r="H118" t="b">
        <f>AND(NOT(ISBLANK(EC_comparison[[#This Row],[Genitalium]])),ISBLANK(EC_comparison[[#This Row],[Aureus]]),ISBLANK(EC_comparison[[#This Row],[Minesweeper]]),ISBLANK(EC_comparison[[#This Row],[Pneumoniae]]))</f>
        <v>0</v>
      </c>
      <c r="I118" t="b">
        <f>AND(NOT(ISBLANK(EC_comparison[[#This Row],[Minesweeper]])),ISBLANK(EC_comparison[[#This Row],[Aureus]]),ISBLANK(EC_comparison[[#This Row],[Genitalium]]),ISBLANK(EC_comparison[[#This Row],[Pneumoniae]]))</f>
        <v>0</v>
      </c>
      <c r="J118" t="b">
        <f>AND(NOT(ISBLANK(EC_comparison[[#This Row],[Pneumoniae]])),ISBLANK(EC_comparison[[#This Row],[Aureus]]),ISBLANK(EC_comparison[[#This Row],[Genitalium]]),ISBLANK(EC_comparison[[#This Row],[Minesweeper]]))</f>
        <v>0</v>
      </c>
    </row>
    <row r="119" spans="1:10" x14ac:dyDescent="0.25">
      <c r="A119" t="s">
        <v>31</v>
      </c>
      <c r="E119" t="b">
        <f t="shared" si="2"/>
        <v>0</v>
      </c>
      <c r="F119" t="b">
        <f t="shared" si="3"/>
        <v>0</v>
      </c>
      <c r="G119" t="b">
        <f>AND(NOT(ISBLANK(EC_comparison[[#This Row],[Aureus]])),ISBLANK(EC_comparison[[#This Row],[Genitalium]]),ISBLANK(EC_comparison[[#This Row],[Minesweeper]]),ISBLANK(EC_comparison[[#This Row],[Pneumoniae]]))</f>
        <v>1</v>
      </c>
      <c r="H119" t="b">
        <f>AND(NOT(ISBLANK(EC_comparison[[#This Row],[Genitalium]])),ISBLANK(EC_comparison[[#This Row],[Aureus]]),ISBLANK(EC_comparison[[#This Row],[Minesweeper]]),ISBLANK(EC_comparison[[#This Row],[Pneumoniae]]))</f>
        <v>0</v>
      </c>
      <c r="I119" t="b">
        <f>AND(NOT(ISBLANK(EC_comparison[[#This Row],[Minesweeper]])),ISBLANK(EC_comparison[[#This Row],[Aureus]]),ISBLANK(EC_comparison[[#This Row],[Genitalium]]),ISBLANK(EC_comparison[[#This Row],[Pneumoniae]]))</f>
        <v>0</v>
      </c>
      <c r="J119" t="b">
        <f>AND(NOT(ISBLANK(EC_comparison[[#This Row],[Pneumoniae]])),ISBLANK(EC_comparison[[#This Row],[Aureus]]),ISBLANK(EC_comparison[[#This Row],[Genitalium]]),ISBLANK(EC_comparison[[#This Row],[Minesweeper]]))</f>
        <v>0</v>
      </c>
    </row>
    <row r="120" spans="1:10" x14ac:dyDescent="0.25">
      <c r="A120" t="s">
        <v>30</v>
      </c>
      <c r="B120" t="s">
        <v>30</v>
      </c>
      <c r="C120" t="s">
        <v>30</v>
      </c>
      <c r="D120" t="s">
        <v>30</v>
      </c>
      <c r="E120" t="b">
        <f t="shared" si="2"/>
        <v>1</v>
      </c>
      <c r="F120" t="b">
        <f t="shared" si="3"/>
        <v>1</v>
      </c>
      <c r="G120" t="b">
        <f>AND(NOT(ISBLANK(EC_comparison[[#This Row],[Aureus]])),ISBLANK(EC_comparison[[#This Row],[Genitalium]]),ISBLANK(EC_comparison[[#This Row],[Minesweeper]]),ISBLANK(EC_comparison[[#This Row],[Pneumoniae]]))</f>
        <v>0</v>
      </c>
      <c r="H120" t="b">
        <f>AND(NOT(ISBLANK(EC_comparison[[#This Row],[Genitalium]])),ISBLANK(EC_comparison[[#This Row],[Aureus]]),ISBLANK(EC_comparison[[#This Row],[Minesweeper]]),ISBLANK(EC_comparison[[#This Row],[Pneumoniae]]))</f>
        <v>0</v>
      </c>
      <c r="I120" t="b">
        <f>AND(NOT(ISBLANK(EC_comparison[[#This Row],[Minesweeper]])),ISBLANK(EC_comparison[[#This Row],[Aureus]]),ISBLANK(EC_comparison[[#This Row],[Genitalium]]),ISBLANK(EC_comparison[[#This Row],[Pneumoniae]]))</f>
        <v>0</v>
      </c>
      <c r="J120" t="b">
        <f>AND(NOT(ISBLANK(EC_comparison[[#This Row],[Pneumoniae]])),ISBLANK(EC_comparison[[#This Row],[Aureus]]),ISBLANK(EC_comparison[[#This Row],[Genitalium]]),ISBLANK(EC_comparison[[#This Row],[Minesweeper]]))</f>
        <v>0</v>
      </c>
    </row>
    <row r="121" spans="1:10" x14ac:dyDescent="0.25">
      <c r="A121" t="s">
        <v>94</v>
      </c>
      <c r="E121" t="b">
        <f t="shared" si="2"/>
        <v>0</v>
      </c>
      <c r="F121" t="b">
        <f t="shared" si="3"/>
        <v>0</v>
      </c>
      <c r="G121" t="b">
        <f>AND(NOT(ISBLANK(EC_comparison[[#This Row],[Aureus]])),ISBLANK(EC_comparison[[#This Row],[Genitalium]]),ISBLANK(EC_comparison[[#This Row],[Minesweeper]]),ISBLANK(EC_comparison[[#This Row],[Pneumoniae]]))</f>
        <v>1</v>
      </c>
      <c r="H121" t="b">
        <f>AND(NOT(ISBLANK(EC_comparison[[#This Row],[Genitalium]])),ISBLANK(EC_comparison[[#This Row],[Aureus]]),ISBLANK(EC_comparison[[#This Row],[Minesweeper]]),ISBLANK(EC_comparison[[#This Row],[Pneumoniae]]))</f>
        <v>0</v>
      </c>
      <c r="I121" t="b">
        <f>AND(NOT(ISBLANK(EC_comparison[[#This Row],[Minesweeper]])),ISBLANK(EC_comparison[[#This Row],[Aureus]]),ISBLANK(EC_comparison[[#This Row],[Genitalium]]),ISBLANK(EC_comparison[[#This Row],[Pneumoniae]]))</f>
        <v>0</v>
      </c>
      <c r="J121" t="b">
        <f>AND(NOT(ISBLANK(EC_comparison[[#This Row],[Pneumoniae]])),ISBLANK(EC_comparison[[#This Row],[Aureus]]),ISBLANK(EC_comparison[[#This Row],[Genitalium]]),ISBLANK(EC_comparison[[#This Row],[Minesweeper]]))</f>
        <v>0</v>
      </c>
    </row>
    <row r="122" spans="1:10" x14ac:dyDescent="0.25">
      <c r="A122" t="s">
        <v>95</v>
      </c>
      <c r="E122" t="b">
        <f t="shared" si="2"/>
        <v>0</v>
      </c>
      <c r="F122" t="b">
        <f t="shared" si="3"/>
        <v>0</v>
      </c>
      <c r="G122" t="b">
        <f>AND(NOT(ISBLANK(EC_comparison[[#This Row],[Aureus]])),ISBLANK(EC_comparison[[#This Row],[Genitalium]]),ISBLANK(EC_comparison[[#This Row],[Minesweeper]]),ISBLANK(EC_comparison[[#This Row],[Pneumoniae]]))</f>
        <v>1</v>
      </c>
      <c r="H122" t="b">
        <f>AND(NOT(ISBLANK(EC_comparison[[#This Row],[Genitalium]])),ISBLANK(EC_comparison[[#This Row],[Aureus]]),ISBLANK(EC_comparison[[#This Row],[Minesweeper]]),ISBLANK(EC_comparison[[#This Row],[Pneumoniae]]))</f>
        <v>0</v>
      </c>
      <c r="I122" t="b">
        <f>AND(NOT(ISBLANK(EC_comparison[[#This Row],[Minesweeper]])),ISBLANK(EC_comparison[[#This Row],[Aureus]]),ISBLANK(EC_comparison[[#This Row],[Genitalium]]),ISBLANK(EC_comparison[[#This Row],[Pneumoniae]]))</f>
        <v>0</v>
      </c>
      <c r="J122" t="b">
        <f>AND(NOT(ISBLANK(EC_comparison[[#This Row],[Pneumoniae]])),ISBLANK(EC_comparison[[#This Row],[Aureus]]),ISBLANK(EC_comparison[[#This Row],[Genitalium]]),ISBLANK(EC_comparison[[#This Row],[Minesweeper]]))</f>
        <v>0</v>
      </c>
    </row>
    <row r="123" spans="1:10" x14ac:dyDescent="0.25">
      <c r="A123" t="s">
        <v>75</v>
      </c>
      <c r="E123" t="b">
        <f t="shared" si="2"/>
        <v>0</v>
      </c>
      <c r="F123" t="b">
        <f t="shared" si="3"/>
        <v>0</v>
      </c>
      <c r="G123" t="b">
        <f>AND(NOT(ISBLANK(EC_comparison[[#This Row],[Aureus]])),ISBLANK(EC_comparison[[#This Row],[Genitalium]]),ISBLANK(EC_comparison[[#This Row],[Minesweeper]]),ISBLANK(EC_comparison[[#This Row],[Pneumoniae]]))</f>
        <v>1</v>
      </c>
      <c r="H123" t="b">
        <f>AND(NOT(ISBLANK(EC_comparison[[#This Row],[Genitalium]])),ISBLANK(EC_comparison[[#This Row],[Aureus]]),ISBLANK(EC_comparison[[#This Row],[Minesweeper]]),ISBLANK(EC_comparison[[#This Row],[Pneumoniae]]))</f>
        <v>0</v>
      </c>
      <c r="I123" t="b">
        <f>AND(NOT(ISBLANK(EC_comparison[[#This Row],[Minesweeper]])),ISBLANK(EC_comparison[[#This Row],[Aureus]]),ISBLANK(EC_comparison[[#This Row],[Genitalium]]),ISBLANK(EC_comparison[[#This Row],[Pneumoniae]]))</f>
        <v>0</v>
      </c>
      <c r="J123" t="b">
        <f>AND(NOT(ISBLANK(EC_comparison[[#This Row],[Pneumoniae]])),ISBLANK(EC_comparison[[#This Row],[Aureus]]),ISBLANK(EC_comparison[[#This Row],[Genitalium]]),ISBLANK(EC_comparison[[#This Row],[Minesweeper]]))</f>
        <v>0</v>
      </c>
    </row>
    <row r="124" spans="1:10" x14ac:dyDescent="0.25">
      <c r="A124" t="s">
        <v>76</v>
      </c>
      <c r="E124" t="b">
        <f t="shared" si="2"/>
        <v>0</v>
      </c>
      <c r="F124" t="b">
        <f t="shared" si="3"/>
        <v>0</v>
      </c>
      <c r="G124" t="b">
        <f>AND(NOT(ISBLANK(EC_comparison[[#This Row],[Aureus]])),ISBLANK(EC_comparison[[#This Row],[Genitalium]]),ISBLANK(EC_comparison[[#This Row],[Minesweeper]]),ISBLANK(EC_comparison[[#This Row],[Pneumoniae]]))</f>
        <v>1</v>
      </c>
      <c r="H124" t="b">
        <f>AND(NOT(ISBLANK(EC_comparison[[#This Row],[Genitalium]])),ISBLANK(EC_comparison[[#This Row],[Aureus]]),ISBLANK(EC_comparison[[#This Row],[Minesweeper]]),ISBLANK(EC_comparison[[#This Row],[Pneumoniae]]))</f>
        <v>0</v>
      </c>
      <c r="I124" t="b">
        <f>AND(NOT(ISBLANK(EC_comparison[[#This Row],[Minesweeper]])),ISBLANK(EC_comparison[[#This Row],[Aureus]]),ISBLANK(EC_comparison[[#This Row],[Genitalium]]),ISBLANK(EC_comparison[[#This Row],[Pneumoniae]]))</f>
        <v>0</v>
      </c>
      <c r="J124" t="b">
        <f>AND(NOT(ISBLANK(EC_comparison[[#This Row],[Pneumoniae]])),ISBLANK(EC_comparison[[#This Row],[Aureus]]),ISBLANK(EC_comparison[[#This Row],[Genitalium]]),ISBLANK(EC_comparison[[#This Row],[Minesweeper]]))</f>
        <v>0</v>
      </c>
    </row>
    <row r="125" spans="1:10" x14ac:dyDescent="0.25">
      <c r="A125" t="s">
        <v>125</v>
      </c>
      <c r="E125" t="b">
        <f t="shared" si="2"/>
        <v>0</v>
      </c>
      <c r="F125" t="b">
        <f t="shared" si="3"/>
        <v>0</v>
      </c>
      <c r="G125" t="b">
        <f>AND(NOT(ISBLANK(EC_comparison[[#This Row],[Aureus]])),ISBLANK(EC_comparison[[#This Row],[Genitalium]]),ISBLANK(EC_comparison[[#This Row],[Minesweeper]]),ISBLANK(EC_comparison[[#This Row],[Pneumoniae]]))</f>
        <v>1</v>
      </c>
      <c r="H125" t="b">
        <f>AND(NOT(ISBLANK(EC_comparison[[#This Row],[Genitalium]])),ISBLANK(EC_comparison[[#This Row],[Aureus]]),ISBLANK(EC_comparison[[#This Row],[Minesweeper]]),ISBLANK(EC_comparison[[#This Row],[Pneumoniae]]))</f>
        <v>0</v>
      </c>
      <c r="I125" t="b">
        <f>AND(NOT(ISBLANK(EC_comparison[[#This Row],[Minesweeper]])),ISBLANK(EC_comparison[[#This Row],[Aureus]]),ISBLANK(EC_comparison[[#This Row],[Genitalium]]),ISBLANK(EC_comparison[[#This Row],[Pneumoniae]]))</f>
        <v>0</v>
      </c>
      <c r="J125" t="b">
        <f>AND(NOT(ISBLANK(EC_comparison[[#This Row],[Pneumoniae]])),ISBLANK(EC_comparison[[#This Row],[Aureus]]),ISBLANK(EC_comparison[[#This Row],[Genitalium]]),ISBLANK(EC_comparison[[#This Row],[Minesweeper]]))</f>
        <v>0</v>
      </c>
    </row>
    <row r="126" spans="1:10" x14ac:dyDescent="0.25">
      <c r="A126" t="s">
        <v>46</v>
      </c>
      <c r="E126" t="b">
        <f t="shared" si="2"/>
        <v>0</v>
      </c>
      <c r="F126" t="b">
        <f t="shared" si="3"/>
        <v>0</v>
      </c>
      <c r="G126" t="b">
        <f>AND(NOT(ISBLANK(EC_comparison[[#This Row],[Aureus]])),ISBLANK(EC_comparison[[#This Row],[Genitalium]]),ISBLANK(EC_comparison[[#This Row],[Minesweeper]]),ISBLANK(EC_comparison[[#This Row],[Pneumoniae]]))</f>
        <v>1</v>
      </c>
      <c r="H126" t="b">
        <f>AND(NOT(ISBLANK(EC_comparison[[#This Row],[Genitalium]])),ISBLANK(EC_comparison[[#This Row],[Aureus]]),ISBLANK(EC_comparison[[#This Row],[Minesweeper]]),ISBLANK(EC_comparison[[#This Row],[Pneumoniae]]))</f>
        <v>0</v>
      </c>
      <c r="I126" t="b">
        <f>AND(NOT(ISBLANK(EC_comparison[[#This Row],[Minesweeper]])),ISBLANK(EC_comparison[[#This Row],[Aureus]]),ISBLANK(EC_comparison[[#This Row],[Genitalium]]),ISBLANK(EC_comparison[[#This Row],[Pneumoniae]]))</f>
        <v>0</v>
      </c>
      <c r="J126" t="b">
        <f>AND(NOT(ISBLANK(EC_comparison[[#This Row],[Pneumoniae]])),ISBLANK(EC_comparison[[#This Row],[Aureus]]),ISBLANK(EC_comparison[[#This Row],[Genitalium]]),ISBLANK(EC_comparison[[#This Row],[Minesweeper]]))</f>
        <v>0</v>
      </c>
    </row>
    <row r="127" spans="1:10" x14ac:dyDescent="0.25">
      <c r="A127" t="s">
        <v>58</v>
      </c>
      <c r="E127" t="b">
        <f t="shared" si="2"/>
        <v>0</v>
      </c>
      <c r="F127" t="b">
        <f t="shared" si="3"/>
        <v>0</v>
      </c>
      <c r="G127" t="b">
        <f>AND(NOT(ISBLANK(EC_comparison[[#This Row],[Aureus]])),ISBLANK(EC_comparison[[#This Row],[Genitalium]]),ISBLANK(EC_comparison[[#This Row],[Minesweeper]]),ISBLANK(EC_comparison[[#This Row],[Pneumoniae]]))</f>
        <v>1</v>
      </c>
      <c r="H127" t="b">
        <f>AND(NOT(ISBLANK(EC_comparison[[#This Row],[Genitalium]])),ISBLANK(EC_comparison[[#This Row],[Aureus]]),ISBLANK(EC_comparison[[#This Row],[Minesweeper]]),ISBLANK(EC_comparison[[#This Row],[Pneumoniae]]))</f>
        <v>0</v>
      </c>
      <c r="I127" t="b">
        <f>AND(NOT(ISBLANK(EC_comparison[[#This Row],[Minesweeper]])),ISBLANK(EC_comparison[[#This Row],[Aureus]]),ISBLANK(EC_comparison[[#This Row],[Genitalium]]),ISBLANK(EC_comparison[[#This Row],[Pneumoniae]]))</f>
        <v>0</v>
      </c>
      <c r="J127" t="b">
        <f>AND(NOT(ISBLANK(EC_comparison[[#This Row],[Pneumoniae]])),ISBLANK(EC_comparison[[#This Row],[Aureus]]),ISBLANK(EC_comparison[[#This Row],[Genitalium]]),ISBLANK(EC_comparison[[#This Row],[Minesweeper]]))</f>
        <v>0</v>
      </c>
    </row>
    <row r="128" spans="1:10" x14ac:dyDescent="0.25">
      <c r="B128" t="s">
        <v>137</v>
      </c>
      <c r="C128" t="s">
        <v>137</v>
      </c>
      <c r="D128" t="s">
        <v>137</v>
      </c>
      <c r="E128" t="b">
        <f t="shared" si="2"/>
        <v>0</v>
      </c>
      <c r="F128" t="b">
        <f t="shared" si="3"/>
        <v>1</v>
      </c>
      <c r="G128" t="b">
        <f>AND(NOT(ISBLANK(EC_comparison[[#This Row],[Aureus]])),ISBLANK(EC_comparison[[#This Row],[Genitalium]]),ISBLANK(EC_comparison[[#This Row],[Minesweeper]]),ISBLANK(EC_comparison[[#This Row],[Pneumoniae]]))</f>
        <v>0</v>
      </c>
      <c r="H128" t="b">
        <f>AND(NOT(ISBLANK(EC_comparison[[#This Row],[Genitalium]])),ISBLANK(EC_comparison[[#This Row],[Aureus]]),ISBLANK(EC_comparison[[#This Row],[Minesweeper]]),ISBLANK(EC_comparison[[#This Row],[Pneumoniae]]))</f>
        <v>0</v>
      </c>
      <c r="I128" t="b">
        <f>AND(NOT(ISBLANK(EC_comparison[[#This Row],[Minesweeper]])),ISBLANK(EC_comparison[[#This Row],[Aureus]]),ISBLANK(EC_comparison[[#This Row],[Genitalium]]),ISBLANK(EC_comparison[[#This Row],[Pneumoniae]]))</f>
        <v>0</v>
      </c>
      <c r="J128" t="b">
        <f>AND(NOT(ISBLANK(EC_comparison[[#This Row],[Pneumoniae]])),ISBLANK(EC_comparison[[#This Row],[Aureus]]),ISBLANK(EC_comparison[[#This Row],[Genitalium]]),ISBLANK(EC_comparison[[#This Row],[Minesweeper]]))</f>
        <v>0</v>
      </c>
    </row>
    <row r="129" spans="1:10" x14ac:dyDescent="0.25">
      <c r="C129" t="s">
        <v>168</v>
      </c>
      <c r="E129" t="b">
        <f t="shared" si="2"/>
        <v>0</v>
      </c>
      <c r="F129" t="b">
        <f t="shared" si="3"/>
        <v>0</v>
      </c>
      <c r="G129" t="b">
        <f>AND(NOT(ISBLANK(EC_comparison[[#This Row],[Aureus]])),ISBLANK(EC_comparison[[#This Row],[Genitalium]]),ISBLANK(EC_comparison[[#This Row],[Minesweeper]]),ISBLANK(EC_comparison[[#This Row],[Pneumoniae]]))</f>
        <v>0</v>
      </c>
      <c r="H129" t="b">
        <f>AND(NOT(ISBLANK(EC_comparison[[#This Row],[Genitalium]])),ISBLANK(EC_comparison[[#This Row],[Aureus]]),ISBLANK(EC_comparison[[#This Row],[Minesweeper]]),ISBLANK(EC_comparison[[#This Row],[Pneumoniae]]))</f>
        <v>0</v>
      </c>
      <c r="I129" t="b">
        <f>AND(NOT(ISBLANK(EC_comparison[[#This Row],[Minesweeper]])),ISBLANK(EC_comparison[[#This Row],[Aureus]]),ISBLANK(EC_comparison[[#This Row],[Genitalium]]),ISBLANK(EC_comparison[[#This Row],[Pneumoniae]]))</f>
        <v>1</v>
      </c>
      <c r="J129" t="b">
        <f>AND(NOT(ISBLANK(EC_comparison[[#This Row],[Pneumoniae]])),ISBLANK(EC_comparison[[#This Row],[Aureus]]),ISBLANK(EC_comparison[[#This Row],[Genitalium]]),ISBLANK(EC_comparison[[#This Row],[Minesweeper]]))</f>
        <v>0</v>
      </c>
    </row>
    <row r="130" spans="1:10" x14ac:dyDescent="0.25">
      <c r="A130" t="s">
        <v>29</v>
      </c>
      <c r="B130" t="s">
        <v>29</v>
      </c>
      <c r="C130" t="s">
        <v>29</v>
      </c>
      <c r="D130" t="s">
        <v>29</v>
      </c>
      <c r="E130" t="b">
        <f t="shared" si="2"/>
        <v>1</v>
      </c>
      <c r="F130" t="b">
        <f t="shared" si="3"/>
        <v>1</v>
      </c>
      <c r="G130" t="b">
        <f>AND(NOT(ISBLANK(EC_comparison[[#This Row],[Aureus]])),ISBLANK(EC_comparison[[#This Row],[Genitalium]]),ISBLANK(EC_comparison[[#This Row],[Minesweeper]]),ISBLANK(EC_comparison[[#This Row],[Pneumoniae]]))</f>
        <v>0</v>
      </c>
      <c r="H130" t="b">
        <f>AND(NOT(ISBLANK(EC_comparison[[#This Row],[Genitalium]])),ISBLANK(EC_comparison[[#This Row],[Aureus]]),ISBLANK(EC_comparison[[#This Row],[Minesweeper]]),ISBLANK(EC_comparison[[#This Row],[Pneumoniae]]))</f>
        <v>0</v>
      </c>
      <c r="I130" t="b">
        <f>AND(NOT(ISBLANK(EC_comparison[[#This Row],[Minesweeper]])),ISBLANK(EC_comparison[[#This Row],[Aureus]]),ISBLANK(EC_comparison[[#This Row],[Genitalium]]),ISBLANK(EC_comparison[[#This Row],[Pneumoniae]]))</f>
        <v>0</v>
      </c>
      <c r="J130" t="b">
        <f>AND(NOT(ISBLANK(EC_comparison[[#This Row],[Pneumoniae]])),ISBLANK(EC_comparison[[#This Row],[Aureus]]),ISBLANK(EC_comparison[[#This Row],[Genitalium]]),ISBLANK(EC_comparison[[#This Row],[Minesweeper]]))</f>
        <v>0</v>
      </c>
    </row>
    <row r="131" spans="1:10" x14ac:dyDescent="0.25">
      <c r="A131" t="s">
        <v>122</v>
      </c>
      <c r="B131" t="s">
        <v>122</v>
      </c>
      <c r="C131" t="s">
        <v>122</v>
      </c>
      <c r="D131" t="s">
        <v>122</v>
      </c>
      <c r="E131" t="b">
        <f t="shared" ref="E131:E178" si="4">NOT(OR(ISBLANK(A131),ISBLANK(B131),ISBLANK(C131),ISBLANK(D131)))</f>
        <v>1</v>
      </c>
      <c r="F131" t="b">
        <f t="shared" ref="F131:F178" si="5">NOT(OR(ISBLANK(B131),ISBLANK(C131),ISBLANK(D131)))</f>
        <v>1</v>
      </c>
      <c r="G131" t="b">
        <f>AND(NOT(ISBLANK(EC_comparison[[#This Row],[Aureus]])),ISBLANK(EC_comparison[[#This Row],[Genitalium]]),ISBLANK(EC_comparison[[#This Row],[Minesweeper]]),ISBLANK(EC_comparison[[#This Row],[Pneumoniae]]))</f>
        <v>0</v>
      </c>
      <c r="H131" t="b">
        <f>AND(NOT(ISBLANK(EC_comparison[[#This Row],[Genitalium]])),ISBLANK(EC_comparison[[#This Row],[Aureus]]),ISBLANK(EC_comparison[[#This Row],[Minesweeper]]),ISBLANK(EC_comparison[[#This Row],[Pneumoniae]]))</f>
        <v>0</v>
      </c>
      <c r="I131" t="b">
        <f>AND(NOT(ISBLANK(EC_comparison[[#This Row],[Minesweeper]])),ISBLANK(EC_comparison[[#This Row],[Aureus]]),ISBLANK(EC_comparison[[#This Row],[Genitalium]]),ISBLANK(EC_comparison[[#This Row],[Pneumoniae]]))</f>
        <v>0</v>
      </c>
      <c r="J131" t="b">
        <f>AND(NOT(ISBLANK(EC_comparison[[#This Row],[Pneumoniae]])),ISBLANK(EC_comparison[[#This Row],[Aureus]]),ISBLANK(EC_comparison[[#This Row],[Genitalium]]),ISBLANK(EC_comparison[[#This Row],[Minesweeper]]))</f>
        <v>0</v>
      </c>
    </row>
    <row r="132" spans="1:10" x14ac:dyDescent="0.25">
      <c r="A132" t="s">
        <v>33</v>
      </c>
      <c r="B132" t="s">
        <v>33</v>
      </c>
      <c r="D132" t="s">
        <v>33</v>
      </c>
      <c r="E132" t="b">
        <f t="shared" si="4"/>
        <v>0</v>
      </c>
      <c r="F132" t="b">
        <f t="shared" si="5"/>
        <v>0</v>
      </c>
      <c r="G132" t="b">
        <f>AND(NOT(ISBLANK(EC_comparison[[#This Row],[Aureus]])),ISBLANK(EC_comparison[[#This Row],[Genitalium]]),ISBLANK(EC_comparison[[#This Row],[Minesweeper]]),ISBLANK(EC_comparison[[#This Row],[Pneumoniae]]))</f>
        <v>0</v>
      </c>
      <c r="H132" t="b">
        <f>AND(NOT(ISBLANK(EC_comparison[[#This Row],[Genitalium]])),ISBLANK(EC_comparison[[#This Row],[Aureus]]),ISBLANK(EC_comparison[[#This Row],[Minesweeper]]),ISBLANK(EC_comparison[[#This Row],[Pneumoniae]]))</f>
        <v>0</v>
      </c>
      <c r="I132" t="b">
        <f>AND(NOT(ISBLANK(EC_comparison[[#This Row],[Minesweeper]])),ISBLANK(EC_comparison[[#This Row],[Aureus]]),ISBLANK(EC_comparison[[#This Row],[Genitalium]]),ISBLANK(EC_comparison[[#This Row],[Pneumoniae]]))</f>
        <v>0</v>
      </c>
      <c r="J132" t="b">
        <f>AND(NOT(ISBLANK(EC_comparison[[#This Row],[Pneumoniae]])),ISBLANK(EC_comparison[[#This Row],[Aureus]]),ISBLANK(EC_comparison[[#This Row],[Genitalium]]),ISBLANK(EC_comparison[[#This Row],[Minesweeper]]))</f>
        <v>0</v>
      </c>
    </row>
    <row r="133" spans="1:10" x14ac:dyDescent="0.25">
      <c r="A133" t="s">
        <v>123</v>
      </c>
      <c r="E133" t="b">
        <f t="shared" si="4"/>
        <v>0</v>
      </c>
      <c r="F133" t="b">
        <f t="shared" si="5"/>
        <v>0</v>
      </c>
      <c r="G133" t="b">
        <f>AND(NOT(ISBLANK(EC_comparison[[#This Row],[Aureus]])),ISBLANK(EC_comparison[[#This Row],[Genitalium]]),ISBLANK(EC_comparison[[#This Row],[Minesweeper]]),ISBLANK(EC_comparison[[#This Row],[Pneumoniae]]))</f>
        <v>1</v>
      </c>
      <c r="H133" t="b">
        <f>AND(NOT(ISBLANK(EC_comparison[[#This Row],[Genitalium]])),ISBLANK(EC_comparison[[#This Row],[Aureus]]),ISBLANK(EC_comparison[[#This Row],[Minesweeper]]),ISBLANK(EC_comparison[[#This Row],[Pneumoniae]]))</f>
        <v>0</v>
      </c>
      <c r="I133" t="b">
        <f>AND(NOT(ISBLANK(EC_comparison[[#This Row],[Minesweeper]])),ISBLANK(EC_comparison[[#This Row],[Aureus]]),ISBLANK(EC_comparison[[#This Row],[Genitalium]]),ISBLANK(EC_comparison[[#This Row],[Pneumoniae]]))</f>
        <v>0</v>
      </c>
      <c r="J133" t="b">
        <f>AND(NOT(ISBLANK(EC_comparison[[#This Row],[Pneumoniae]])),ISBLANK(EC_comparison[[#This Row],[Aureus]]),ISBLANK(EC_comparison[[#This Row],[Genitalium]]),ISBLANK(EC_comparison[[#This Row],[Minesweeper]]))</f>
        <v>0</v>
      </c>
    </row>
    <row r="134" spans="1:10" x14ac:dyDescent="0.25">
      <c r="A134" t="s">
        <v>62</v>
      </c>
      <c r="E134" t="b">
        <f t="shared" si="4"/>
        <v>0</v>
      </c>
      <c r="F134" t="b">
        <f t="shared" si="5"/>
        <v>0</v>
      </c>
      <c r="G134" t="b">
        <f>AND(NOT(ISBLANK(EC_comparison[[#This Row],[Aureus]])),ISBLANK(EC_comparison[[#This Row],[Genitalium]]),ISBLANK(EC_comparison[[#This Row],[Minesweeper]]),ISBLANK(EC_comparison[[#This Row],[Pneumoniae]]))</f>
        <v>1</v>
      </c>
      <c r="H134" t="b">
        <f>AND(NOT(ISBLANK(EC_comparison[[#This Row],[Genitalium]])),ISBLANK(EC_comparison[[#This Row],[Aureus]]),ISBLANK(EC_comparison[[#This Row],[Minesweeper]]),ISBLANK(EC_comparison[[#This Row],[Pneumoniae]]))</f>
        <v>0</v>
      </c>
      <c r="I134" t="b">
        <f>AND(NOT(ISBLANK(EC_comparison[[#This Row],[Minesweeper]])),ISBLANK(EC_comparison[[#This Row],[Aureus]]),ISBLANK(EC_comparison[[#This Row],[Genitalium]]),ISBLANK(EC_comparison[[#This Row],[Pneumoniae]]))</f>
        <v>0</v>
      </c>
      <c r="J134" t="b">
        <f>AND(NOT(ISBLANK(EC_comparison[[#This Row],[Pneumoniae]])),ISBLANK(EC_comparison[[#This Row],[Aureus]]),ISBLANK(EC_comparison[[#This Row],[Genitalium]]),ISBLANK(EC_comparison[[#This Row],[Minesweeper]]))</f>
        <v>0</v>
      </c>
    </row>
    <row r="135" spans="1:10" x14ac:dyDescent="0.25">
      <c r="A135" t="s">
        <v>63</v>
      </c>
      <c r="B135" t="s">
        <v>63</v>
      </c>
      <c r="C135" t="s">
        <v>63</v>
      </c>
      <c r="D135" t="s">
        <v>63</v>
      </c>
      <c r="E135" t="b">
        <f t="shared" si="4"/>
        <v>1</v>
      </c>
      <c r="F135" t="b">
        <f t="shared" si="5"/>
        <v>1</v>
      </c>
      <c r="G135" t="b">
        <f>AND(NOT(ISBLANK(EC_comparison[[#This Row],[Aureus]])),ISBLANK(EC_comparison[[#This Row],[Genitalium]]),ISBLANK(EC_comparison[[#This Row],[Minesweeper]]),ISBLANK(EC_comparison[[#This Row],[Pneumoniae]]))</f>
        <v>0</v>
      </c>
      <c r="H135" t="b">
        <f>AND(NOT(ISBLANK(EC_comparison[[#This Row],[Genitalium]])),ISBLANK(EC_comparison[[#This Row],[Aureus]]),ISBLANK(EC_comparison[[#This Row],[Minesweeper]]),ISBLANK(EC_comparison[[#This Row],[Pneumoniae]]))</f>
        <v>0</v>
      </c>
      <c r="I135" t="b">
        <f>AND(NOT(ISBLANK(EC_comparison[[#This Row],[Minesweeper]])),ISBLANK(EC_comparison[[#This Row],[Aureus]]),ISBLANK(EC_comparison[[#This Row],[Genitalium]]),ISBLANK(EC_comparison[[#This Row],[Pneumoniae]]))</f>
        <v>0</v>
      </c>
      <c r="J135" t="b">
        <f>AND(NOT(ISBLANK(EC_comparison[[#This Row],[Pneumoniae]])),ISBLANK(EC_comparison[[#This Row],[Aureus]]),ISBLANK(EC_comparison[[#This Row],[Genitalium]]),ISBLANK(EC_comparison[[#This Row],[Minesweeper]]))</f>
        <v>0</v>
      </c>
    </row>
    <row r="136" spans="1:10" x14ac:dyDescent="0.25">
      <c r="A136" t="s">
        <v>118</v>
      </c>
      <c r="B136" t="s">
        <v>118</v>
      </c>
      <c r="D136" t="s">
        <v>118</v>
      </c>
      <c r="E136" t="b">
        <f t="shared" si="4"/>
        <v>0</v>
      </c>
      <c r="F136" t="b">
        <f t="shared" si="5"/>
        <v>0</v>
      </c>
      <c r="G136" t="b">
        <f>AND(NOT(ISBLANK(EC_comparison[[#This Row],[Aureus]])),ISBLANK(EC_comparison[[#This Row],[Genitalium]]),ISBLANK(EC_comparison[[#This Row],[Minesweeper]]),ISBLANK(EC_comparison[[#This Row],[Pneumoniae]]))</f>
        <v>0</v>
      </c>
      <c r="H136" t="b">
        <f>AND(NOT(ISBLANK(EC_comparison[[#This Row],[Genitalium]])),ISBLANK(EC_comparison[[#This Row],[Aureus]]),ISBLANK(EC_comparison[[#This Row],[Minesweeper]]),ISBLANK(EC_comparison[[#This Row],[Pneumoniae]]))</f>
        <v>0</v>
      </c>
      <c r="I136" t="b">
        <f>AND(NOT(ISBLANK(EC_comparison[[#This Row],[Minesweeper]])),ISBLANK(EC_comparison[[#This Row],[Aureus]]),ISBLANK(EC_comparison[[#This Row],[Genitalium]]),ISBLANK(EC_comparison[[#This Row],[Pneumoniae]]))</f>
        <v>0</v>
      </c>
      <c r="J136" t="b">
        <f>AND(NOT(ISBLANK(EC_comparison[[#This Row],[Pneumoniae]])),ISBLANK(EC_comparison[[#This Row],[Aureus]]),ISBLANK(EC_comparison[[#This Row],[Genitalium]]),ISBLANK(EC_comparison[[#This Row],[Minesweeper]]))</f>
        <v>0</v>
      </c>
    </row>
    <row r="137" spans="1:10" x14ac:dyDescent="0.25">
      <c r="A137" t="s">
        <v>120</v>
      </c>
      <c r="B137" t="s">
        <v>120</v>
      </c>
      <c r="C137" t="s">
        <v>120</v>
      </c>
      <c r="E137" t="b">
        <f t="shared" si="4"/>
        <v>0</v>
      </c>
      <c r="F137" t="b">
        <f t="shared" si="5"/>
        <v>0</v>
      </c>
      <c r="G137" t="b">
        <f>AND(NOT(ISBLANK(EC_comparison[[#This Row],[Aureus]])),ISBLANK(EC_comparison[[#This Row],[Genitalium]]),ISBLANK(EC_comparison[[#This Row],[Minesweeper]]),ISBLANK(EC_comparison[[#This Row],[Pneumoniae]]))</f>
        <v>0</v>
      </c>
      <c r="H137" t="b">
        <f>AND(NOT(ISBLANK(EC_comparison[[#This Row],[Genitalium]])),ISBLANK(EC_comparison[[#This Row],[Aureus]]),ISBLANK(EC_comparison[[#This Row],[Minesweeper]]),ISBLANK(EC_comparison[[#This Row],[Pneumoniae]]))</f>
        <v>0</v>
      </c>
      <c r="I137" t="b">
        <f>AND(NOT(ISBLANK(EC_comparison[[#This Row],[Minesweeper]])),ISBLANK(EC_comparison[[#This Row],[Aureus]]),ISBLANK(EC_comparison[[#This Row],[Genitalium]]),ISBLANK(EC_comparison[[#This Row],[Pneumoniae]]))</f>
        <v>0</v>
      </c>
      <c r="J137" t="b">
        <f>AND(NOT(ISBLANK(EC_comparison[[#This Row],[Pneumoniae]])),ISBLANK(EC_comparison[[#This Row],[Aureus]]),ISBLANK(EC_comparison[[#This Row],[Genitalium]]),ISBLANK(EC_comparison[[#This Row],[Minesweeper]]))</f>
        <v>0</v>
      </c>
    </row>
    <row r="138" spans="1:10" x14ac:dyDescent="0.25">
      <c r="B138" t="s">
        <v>138</v>
      </c>
      <c r="C138" t="s">
        <v>138</v>
      </c>
      <c r="E138" t="b">
        <f t="shared" si="4"/>
        <v>0</v>
      </c>
      <c r="F138" t="b">
        <f t="shared" si="5"/>
        <v>0</v>
      </c>
      <c r="G138" t="b">
        <f>AND(NOT(ISBLANK(EC_comparison[[#This Row],[Aureus]])),ISBLANK(EC_comparison[[#This Row],[Genitalium]]),ISBLANK(EC_comparison[[#This Row],[Minesweeper]]),ISBLANK(EC_comparison[[#This Row],[Pneumoniae]]))</f>
        <v>0</v>
      </c>
      <c r="H138" t="b">
        <f>AND(NOT(ISBLANK(EC_comparison[[#This Row],[Genitalium]])),ISBLANK(EC_comparison[[#This Row],[Aureus]]),ISBLANK(EC_comparison[[#This Row],[Minesweeper]]),ISBLANK(EC_comparison[[#This Row],[Pneumoniae]]))</f>
        <v>0</v>
      </c>
      <c r="I138" t="b">
        <f>AND(NOT(ISBLANK(EC_comparison[[#This Row],[Minesweeper]])),ISBLANK(EC_comparison[[#This Row],[Aureus]]),ISBLANK(EC_comparison[[#This Row],[Genitalium]]),ISBLANK(EC_comparison[[#This Row],[Pneumoniae]]))</f>
        <v>0</v>
      </c>
      <c r="J138" t="b">
        <f>AND(NOT(ISBLANK(EC_comparison[[#This Row],[Pneumoniae]])),ISBLANK(EC_comparison[[#This Row],[Aureus]]),ISBLANK(EC_comparison[[#This Row],[Genitalium]]),ISBLANK(EC_comparison[[#This Row],[Minesweeper]]))</f>
        <v>0</v>
      </c>
    </row>
    <row r="139" spans="1:10" x14ac:dyDescent="0.25">
      <c r="A139" t="s">
        <v>102</v>
      </c>
      <c r="B139" t="s">
        <v>102</v>
      </c>
      <c r="C139" t="s">
        <v>102</v>
      </c>
      <c r="D139" t="s">
        <v>102</v>
      </c>
      <c r="E139" t="b">
        <f t="shared" si="4"/>
        <v>1</v>
      </c>
      <c r="F139" t="b">
        <f t="shared" si="5"/>
        <v>1</v>
      </c>
      <c r="G139" t="b">
        <f>AND(NOT(ISBLANK(EC_comparison[[#This Row],[Aureus]])),ISBLANK(EC_comparison[[#This Row],[Genitalium]]),ISBLANK(EC_comparison[[#This Row],[Minesweeper]]),ISBLANK(EC_comparison[[#This Row],[Pneumoniae]]))</f>
        <v>0</v>
      </c>
      <c r="H139" t="b">
        <f>AND(NOT(ISBLANK(EC_comparison[[#This Row],[Genitalium]])),ISBLANK(EC_comparison[[#This Row],[Aureus]]),ISBLANK(EC_comparison[[#This Row],[Minesweeper]]),ISBLANK(EC_comparison[[#This Row],[Pneumoniae]]))</f>
        <v>0</v>
      </c>
      <c r="I139" t="b">
        <f>AND(NOT(ISBLANK(EC_comparison[[#This Row],[Minesweeper]])),ISBLANK(EC_comparison[[#This Row],[Aureus]]),ISBLANK(EC_comparison[[#This Row],[Genitalium]]),ISBLANK(EC_comparison[[#This Row],[Pneumoniae]]))</f>
        <v>0</v>
      </c>
      <c r="J139" t="b">
        <f>AND(NOT(ISBLANK(EC_comparison[[#This Row],[Pneumoniae]])),ISBLANK(EC_comparison[[#This Row],[Aureus]]),ISBLANK(EC_comparison[[#This Row],[Genitalium]]),ISBLANK(EC_comparison[[#This Row],[Minesweeper]]))</f>
        <v>0</v>
      </c>
    </row>
    <row r="140" spans="1:10" x14ac:dyDescent="0.25">
      <c r="A140" t="s">
        <v>6</v>
      </c>
      <c r="B140" t="s">
        <v>6</v>
      </c>
      <c r="C140" t="s">
        <v>6</v>
      </c>
      <c r="D140" t="s">
        <v>6</v>
      </c>
      <c r="E140" t="b">
        <f t="shared" si="4"/>
        <v>1</v>
      </c>
      <c r="F140" t="b">
        <f t="shared" si="5"/>
        <v>1</v>
      </c>
      <c r="G140" t="b">
        <f>AND(NOT(ISBLANK(EC_comparison[[#This Row],[Aureus]])),ISBLANK(EC_comparison[[#This Row],[Genitalium]]),ISBLANK(EC_comparison[[#This Row],[Minesweeper]]),ISBLANK(EC_comparison[[#This Row],[Pneumoniae]]))</f>
        <v>0</v>
      </c>
      <c r="H140" t="b">
        <f>AND(NOT(ISBLANK(EC_comparison[[#This Row],[Genitalium]])),ISBLANK(EC_comparison[[#This Row],[Aureus]]),ISBLANK(EC_comparison[[#This Row],[Minesweeper]]),ISBLANK(EC_comparison[[#This Row],[Pneumoniae]]))</f>
        <v>0</v>
      </c>
      <c r="I140" t="b">
        <f>AND(NOT(ISBLANK(EC_comparison[[#This Row],[Minesweeper]])),ISBLANK(EC_comparison[[#This Row],[Aureus]]),ISBLANK(EC_comparison[[#This Row],[Genitalium]]),ISBLANK(EC_comparison[[#This Row],[Pneumoniae]]))</f>
        <v>0</v>
      </c>
      <c r="J140" t="b">
        <f>AND(NOT(ISBLANK(EC_comparison[[#This Row],[Pneumoniae]])),ISBLANK(EC_comparison[[#This Row],[Aureus]]),ISBLANK(EC_comparison[[#This Row],[Genitalium]]),ISBLANK(EC_comparison[[#This Row],[Minesweeper]]))</f>
        <v>0</v>
      </c>
    </row>
    <row r="141" spans="1:10" x14ac:dyDescent="0.25">
      <c r="A141" t="s">
        <v>1</v>
      </c>
      <c r="B141" t="s">
        <v>1</v>
      </c>
      <c r="C141" t="s">
        <v>1</v>
      </c>
      <c r="D141" t="s">
        <v>1</v>
      </c>
      <c r="E141" t="b">
        <f t="shared" si="4"/>
        <v>1</v>
      </c>
      <c r="F141" t="b">
        <f t="shared" si="5"/>
        <v>1</v>
      </c>
      <c r="G141" t="b">
        <f>AND(NOT(ISBLANK(EC_comparison[[#This Row],[Aureus]])),ISBLANK(EC_comparison[[#This Row],[Genitalium]]),ISBLANK(EC_comparison[[#This Row],[Minesweeper]]),ISBLANK(EC_comparison[[#This Row],[Pneumoniae]]))</f>
        <v>0</v>
      </c>
      <c r="H141" t="b">
        <f>AND(NOT(ISBLANK(EC_comparison[[#This Row],[Genitalium]])),ISBLANK(EC_comparison[[#This Row],[Aureus]]),ISBLANK(EC_comparison[[#This Row],[Minesweeper]]),ISBLANK(EC_comparison[[#This Row],[Pneumoniae]]))</f>
        <v>0</v>
      </c>
      <c r="I141" t="b">
        <f>AND(NOT(ISBLANK(EC_comparison[[#This Row],[Minesweeper]])),ISBLANK(EC_comparison[[#This Row],[Aureus]]),ISBLANK(EC_comparison[[#This Row],[Genitalium]]),ISBLANK(EC_comparison[[#This Row],[Pneumoniae]]))</f>
        <v>0</v>
      </c>
      <c r="J141" t="b">
        <f>AND(NOT(ISBLANK(EC_comparison[[#This Row],[Pneumoniae]])),ISBLANK(EC_comparison[[#This Row],[Aureus]]),ISBLANK(EC_comparison[[#This Row],[Genitalium]]),ISBLANK(EC_comparison[[#This Row],[Minesweeper]]))</f>
        <v>0</v>
      </c>
    </row>
    <row r="142" spans="1:10" x14ac:dyDescent="0.25">
      <c r="A142" t="s">
        <v>89</v>
      </c>
      <c r="B142" t="s">
        <v>89</v>
      </c>
      <c r="C142" t="s">
        <v>89</v>
      </c>
      <c r="D142" t="s">
        <v>89</v>
      </c>
      <c r="E142" t="b">
        <f t="shared" si="4"/>
        <v>1</v>
      </c>
      <c r="F142" t="b">
        <f t="shared" si="5"/>
        <v>1</v>
      </c>
      <c r="G142" t="b">
        <f>AND(NOT(ISBLANK(EC_comparison[[#This Row],[Aureus]])),ISBLANK(EC_comparison[[#This Row],[Genitalium]]),ISBLANK(EC_comparison[[#This Row],[Minesweeper]]),ISBLANK(EC_comparison[[#This Row],[Pneumoniae]]))</f>
        <v>0</v>
      </c>
      <c r="H142" t="b">
        <f>AND(NOT(ISBLANK(EC_comparison[[#This Row],[Genitalium]])),ISBLANK(EC_comparison[[#This Row],[Aureus]]),ISBLANK(EC_comparison[[#This Row],[Minesweeper]]),ISBLANK(EC_comparison[[#This Row],[Pneumoniae]]))</f>
        <v>0</v>
      </c>
      <c r="I142" t="b">
        <f>AND(NOT(ISBLANK(EC_comparison[[#This Row],[Minesweeper]])),ISBLANK(EC_comparison[[#This Row],[Aureus]]),ISBLANK(EC_comparison[[#This Row],[Genitalium]]),ISBLANK(EC_comparison[[#This Row],[Pneumoniae]]))</f>
        <v>0</v>
      </c>
      <c r="J142" t="b">
        <f>AND(NOT(ISBLANK(EC_comparison[[#This Row],[Pneumoniae]])),ISBLANK(EC_comparison[[#This Row],[Aureus]]),ISBLANK(EC_comparison[[#This Row],[Genitalium]]),ISBLANK(EC_comparison[[#This Row],[Minesweeper]]))</f>
        <v>0</v>
      </c>
    </row>
    <row r="143" spans="1:10" x14ac:dyDescent="0.25">
      <c r="A143" t="s">
        <v>32</v>
      </c>
      <c r="E143" t="b">
        <f t="shared" si="4"/>
        <v>0</v>
      </c>
      <c r="F143" t="b">
        <f t="shared" si="5"/>
        <v>0</v>
      </c>
      <c r="G143" t="b">
        <f>AND(NOT(ISBLANK(EC_comparison[[#This Row],[Aureus]])),ISBLANK(EC_comparison[[#This Row],[Genitalium]]),ISBLANK(EC_comparison[[#This Row],[Minesweeper]]),ISBLANK(EC_comparison[[#This Row],[Pneumoniae]]))</f>
        <v>1</v>
      </c>
      <c r="H143" t="b">
        <f>AND(NOT(ISBLANK(EC_comparison[[#This Row],[Genitalium]])),ISBLANK(EC_comparison[[#This Row],[Aureus]]),ISBLANK(EC_comparison[[#This Row],[Minesweeper]]),ISBLANK(EC_comparison[[#This Row],[Pneumoniae]]))</f>
        <v>0</v>
      </c>
      <c r="I143" t="b">
        <f>AND(NOT(ISBLANK(EC_comparison[[#This Row],[Minesweeper]])),ISBLANK(EC_comparison[[#This Row],[Aureus]]),ISBLANK(EC_comparison[[#This Row],[Genitalium]]),ISBLANK(EC_comparison[[#This Row],[Pneumoniae]]))</f>
        <v>0</v>
      </c>
      <c r="J143" t="b">
        <f>AND(NOT(ISBLANK(EC_comparison[[#This Row],[Pneumoniae]])),ISBLANK(EC_comparison[[#This Row],[Aureus]]),ISBLANK(EC_comparison[[#This Row],[Genitalium]]),ISBLANK(EC_comparison[[#This Row],[Minesweeper]]))</f>
        <v>0</v>
      </c>
    </row>
    <row r="144" spans="1:10" x14ac:dyDescent="0.25">
      <c r="A144" t="s">
        <v>85</v>
      </c>
      <c r="B144" t="s">
        <v>85</v>
      </c>
      <c r="C144" t="s">
        <v>85</v>
      </c>
      <c r="D144" t="s">
        <v>85</v>
      </c>
      <c r="E144" t="b">
        <f t="shared" si="4"/>
        <v>1</v>
      </c>
      <c r="F144" t="b">
        <f t="shared" si="5"/>
        <v>1</v>
      </c>
      <c r="G144" t="b">
        <f>AND(NOT(ISBLANK(EC_comparison[[#This Row],[Aureus]])),ISBLANK(EC_comparison[[#This Row],[Genitalium]]),ISBLANK(EC_comparison[[#This Row],[Minesweeper]]),ISBLANK(EC_comparison[[#This Row],[Pneumoniae]]))</f>
        <v>0</v>
      </c>
      <c r="H144" t="b">
        <f>AND(NOT(ISBLANK(EC_comparison[[#This Row],[Genitalium]])),ISBLANK(EC_comparison[[#This Row],[Aureus]]),ISBLANK(EC_comparison[[#This Row],[Minesweeper]]),ISBLANK(EC_comparison[[#This Row],[Pneumoniae]]))</f>
        <v>0</v>
      </c>
      <c r="I144" t="b">
        <f>AND(NOT(ISBLANK(EC_comparison[[#This Row],[Minesweeper]])),ISBLANK(EC_comparison[[#This Row],[Aureus]]),ISBLANK(EC_comparison[[#This Row],[Genitalium]]),ISBLANK(EC_comparison[[#This Row],[Pneumoniae]]))</f>
        <v>0</v>
      </c>
      <c r="J144" t="b">
        <f>AND(NOT(ISBLANK(EC_comparison[[#This Row],[Pneumoniae]])),ISBLANK(EC_comparison[[#This Row],[Aureus]]),ISBLANK(EC_comparison[[#This Row],[Genitalium]]),ISBLANK(EC_comparison[[#This Row],[Minesweeper]]))</f>
        <v>0</v>
      </c>
    </row>
    <row r="145" spans="1:10" x14ac:dyDescent="0.25">
      <c r="A145" t="s">
        <v>66</v>
      </c>
      <c r="B145" t="s">
        <v>66</v>
      </c>
      <c r="C145" t="s">
        <v>66</v>
      </c>
      <c r="D145" t="s">
        <v>66</v>
      </c>
      <c r="E145" t="b">
        <f t="shared" si="4"/>
        <v>1</v>
      </c>
      <c r="F145" t="b">
        <f t="shared" si="5"/>
        <v>1</v>
      </c>
      <c r="G145" t="b">
        <f>AND(NOT(ISBLANK(EC_comparison[[#This Row],[Aureus]])),ISBLANK(EC_comparison[[#This Row],[Genitalium]]),ISBLANK(EC_comparison[[#This Row],[Minesweeper]]),ISBLANK(EC_comparison[[#This Row],[Pneumoniae]]))</f>
        <v>0</v>
      </c>
      <c r="H145" t="b">
        <f>AND(NOT(ISBLANK(EC_comparison[[#This Row],[Genitalium]])),ISBLANK(EC_comparison[[#This Row],[Aureus]]),ISBLANK(EC_comparison[[#This Row],[Minesweeper]]),ISBLANK(EC_comparison[[#This Row],[Pneumoniae]]))</f>
        <v>0</v>
      </c>
      <c r="I145" t="b">
        <f>AND(NOT(ISBLANK(EC_comparison[[#This Row],[Minesweeper]])),ISBLANK(EC_comparison[[#This Row],[Aureus]]),ISBLANK(EC_comparison[[#This Row],[Genitalium]]),ISBLANK(EC_comparison[[#This Row],[Pneumoniae]]))</f>
        <v>0</v>
      </c>
      <c r="J145" t="b">
        <f>AND(NOT(ISBLANK(EC_comparison[[#This Row],[Pneumoniae]])),ISBLANK(EC_comparison[[#This Row],[Aureus]]),ISBLANK(EC_comparison[[#This Row],[Genitalium]]),ISBLANK(EC_comparison[[#This Row],[Minesweeper]]))</f>
        <v>0</v>
      </c>
    </row>
    <row r="146" spans="1:10" x14ac:dyDescent="0.25">
      <c r="A146" t="s">
        <v>16</v>
      </c>
      <c r="B146" t="s">
        <v>16</v>
      </c>
      <c r="C146" t="s">
        <v>16</v>
      </c>
      <c r="D146" t="s">
        <v>16</v>
      </c>
      <c r="E146" t="b">
        <f t="shared" si="4"/>
        <v>1</v>
      </c>
      <c r="F146" t="b">
        <f t="shared" si="5"/>
        <v>1</v>
      </c>
      <c r="G146" t="b">
        <f>AND(NOT(ISBLANK(EC_comparison[[#This Row],[Aureus]])),ISBLANK(EC_comparison[[#This Row],[Genitalium]]),ISBLANK(EC_comparison[[#This Row],[Minesweeper]]),ISBLANK(EC_comparison[[#This Row],[Pneumoniae]]))</f>
        <v>0</v>
      </c>
      <c r="H146" t="b">
        <f>AND(NOT(ISBLANK(EC_comparison[[#This Row],[Genitalium]])),ISBLANK(EC_comparison[[#This Row],[Aureus]]),ISBLANK(EC_comparison[[#This Row],[Minesweeper]]),ISBLANK(EC_comparison[[#This Row],[Pneumoniae]]))</f>
        <v>0</v>
      </c>
      <c r="I146" t="b">
        <f>AND(NOT(ISBLANK(EC_comparison[[#This Row],[Minesweeper]])),ISBLANK(EC_comparison[[#This Row],[Aureus]]),ISBLANK(EC_comparison[[#This Row],[Genitalium]]),ISBLANK(EC_comparison[[#This Row],[Pneumoniae]]))</f>
        <v>0</v>
      </c>
      <c r="J146" t="b">
        <f>AND(NOT(ISBLANK(EC_comparison[[#This Row],[Pneumoniae]])),ISBLANK(EC_comparison[[#This Row],[Aureus]]),ISBLANK(EC_comparison[[#This Row],[Genitalium]]),ISBLANK(EC_comparison[[#This Row],[Minesweeper]]))</f>
        <v>0</v>
      </c>
    </row>
    <row r="147" spans="1:10" x14ac:dyDescent="0.25">
      <c r="A147" t="s">
        <v>15</v>
      </c>
      <c r="B147" t="s">
        <v>15</v>
      </c>
      <c r="C147" t="s">
        <v>15</v>
      </c>
      <c r="D147" t="s">
        <v>15</v>
      </c>
      <c r="E147" t="b">
        <f t="shared" si="4"/>
        <v>1</v>
      </c>
      <c r="F147" t="b">
        <f t="shared" si="5"/>
        <v>1</v>
      </c>
      <c r="G147" t="b">
        <f>AND(NOT(ISBLANK(EC_comparison[[#This Row],[Aureus]])),ISBLANK(EC_comparison[[#This Row],[Genitalium]]),ISBLANK(EC_comparison[[#This Row],[Minesweeper]]),ISBLANK(EC_comparison[[#This Row],[Pneumoniae]]))</f>
        <v>0</v>
      </c>
      <c r="H147" t="b">
        <f>AND(NOT(ISBLANK(EC_comparison[[#This Row],[Genitalium]])),ISBLANK(EC_comparison[[#This Row],[Aureus]]),ISBLANK(EC_comparison[[#This Row],[Minesweeper]]),ISBLANK(EC_comparison[[#This Row],[Pneumoniae]]))</f>
        <v>0</v>
      </c>
      <c r="I147" t="b">
        <f>AND(NOT(ISBLANK(EC_comparison[[#This Row],[Minesweeper]])),ISBLANK(EC_comparison[[#This Row],[Aureus]]),ISBLANK(EC_comparison[[#This Row],[Genitalium]]),ISBLANK(EC_comparison[[#This Row],[Pneumoniae]]))</f>
        <v>0</v>
      </c>
      <c r="J147" t="b">
        <f>AND(NOT(ISBLANK(EC_comparison[[#This Row],[Pneumoniae]])),ISBLANK(EC_comparison[[#This Row],[Aureus]]),ISBLANK(EC_comparison[[#This Row],[Genitalium]]),ISBLANK(EC_comparison[[#This Row],[Minesweeper]]))</f>
        <v>0</v>
      </c>
    </row>
    <row r="148" spans="1:10" x14ac:dyDescent="0.25">
      <c r="A148" t="s">
        <v>22</v>
      </c>
      <c r="B148" t="s">
        <v>22</v>
      </c>
      <c r="C148" t="s">
        <v>22</v>
      </c>
      <c r="D148" t="s">
        <v>22</v>
      </c>
      <c r="E148" t="b">
        <f t="shared" si="4"/>
        <v>1</v>
      </c>
      <c r="F148" t="b">
        <f t="shared" si="5"/>
        <v>1</v>
      </c>
      <c r="G148" t="b">
        <f>AND(NOT(ISBLANK(EC_comparison[[#This Row],[Aureus]])),ISBLANK(EC_comparison[[#This Row],[Genitalium]]),ISBLANK(EC_comparison[[#This Row],[Minesweeper]]),ISBLANK(EC_comparison[[#This Row],[Pneumoniae]]))</f>
        <v>0</v>
      </c>
      <c r="H148" t="b">
        <f>AND(NOT(ISBLANK(EC_comparison[[#This Row],[Genitalium]])),ISBLANK(EC_comparison[[#This Row],[Aureus]]),ISBLANK(EC_comparison[[#This Row],[Minesweeper]]),ISBLANK(EC_comparison[[#This Row],[Pneumoniae]]))</f>
        <v>0</v>
      </c>
      <c r="I148" t="b">
        <f>AND(NOT(ISBLANK(EC_comparison[[#This Row],[Minesweeper]])),ISBLANK(EC_comparison[[#This Row],[Aureus]]),ISBLANK(EC_comparison[[#This Row],[Genitalium]]),ISBLANK(EC_comparison[[#This Row],[Pneumoniae]]))</f>
        <v>0</v>
      </c>
      <c r="J148" t="b">
        <f>AND(NOT(ISBLANK(EC_comparison[[#This Row],[Pneumoniae]])),ISBLANK(EC_comparison[[#This Row],[Aureus]]),ISBLANK(EC_comparison[[#This Row],[Genitalium]]),ISBLANK(EC_comparison[[#This Row],[Minesweeper]]))</f>
        <v>0</v>
      </c>
    </row>
    <row r="149" spans="1:10" x14ac:dyDescent="0.25">
      <c r="A149" t="s">
        <v>35</v>
      </c>
      <c r="B149" t="s">
        <v>35</v>
      </c>
      <c r="C149" t="s">
        <v>35</v>
      </c>
      <c r="D149" t="s">
        <v>35</v>
      </c>
      <c r="E149" t="b">
        <f t="shared" si="4"/>
        <v>1</v>
      </c>
      <c r="F149" t="b">
        <f t="shared" si="5"/>
        <v>1</v>
      </c>
      <c r="G149" t="b">
        <f>AND(NOT(ISBLANK(EC_comparison[[#This Row],[Aureus]])),ISBLANK(EC_comparison[[#This Row],[Genitalium]]),ISBLANK(EC_comparison[[#This Row],[Minesweeper]]),ISBLANK(EC_comparison[[#This Row],[Pneumoniae]]))</f>
        <v>0</v>
      </c>
      <c r="H149" t="b">
        <f>AND(NOT(ISBLANK(EC_comparison[[#This Row],[Genitalium]])),ISBLANK(EC_comparison[[#This Row],[Aureus]]),ISBLANK(EC_comparison[[#This Row],[Minesweeper]]),ISBLANK(EC_comparison[[#This Row],[Pneumoniae]]))</f>
        <v>0</v>
      </c>
      <c r="I149" t="b">
        <f>AND(NOT(ISBLANK(EC_comparison[[#This Row],[Minesweeper]])),ISBLANK(EC_comparison[[#This Row],[Aureus]]),ISBLANK(EC_comparison[[#This Row],[Genitalium]]),ISBLANK(EC_comparison[[#This Row],[Pneumoniae]]))</f>
        <v>0</v>
      </c>
      <c r="J149" t="b">
        <f>AND(NOT(ISBLANK(EC_comparison[[#This Row],[Pneumoniae]])),ISBLANK(EC_comparison[[#This Row],[Aureus]]),ISBLANK(EC_comparison[[#This Row],[Genitalium]]),ISBLANK(EC_comparison[[#This Row],[Minesweeper]]))</f>
        <v>0</v>
      </c>
    </row>
    <row r="150" spans="1:10" x14ac:dyDescent="0.25">
      <c r="A150" t="s">
        <v>45</v>
      </c>
      <c r="B150" t="s">
        <v>45</v>
      </c>
      <c r="C150" t="s">
        <v>45</v>
      </c>
      <c r="D150" t="s">
        <v>45</v>
      </c>
      <c r="E150" t="b">
        <f t="shared" si="4"/>
        <v>1</v>
      </c>
      <c r="F150" t="b">
        <f t="shared" si="5"/>
        <v>1</v>
      </c>
      <c r="G150" t="b">
        <f>AND(NOT(ISBLANK(EC_comparison[[#This Row],[Aureus]])),ISBLANK(EC_comparison[[#This Row],[Genitalium]]),ISBLANK(EC_comparison[[#This Row],[Minesweeper]]),ISBLANK(EC_comparison[[#This Row],[Pneumoniae]]))</f>
        <v>0</v>
      </c>
      <c r="H150" t="b">
        <f>AND(NOT(ISBLANK(EC_comparison[[#This Row],[Genitalium]])),ISBLANK(EC_comparison[[#This Row],[Aureus]]),ISBLANK(EC_comparison[[#This Row],[Minesweeper]]),ISBLANK(EC_comparison[[#This Row],[Pneumoniae]]))</f>
        <v>0</v>
      </c>
      <c r="I150" t="b">
        <f>AND(NOT(ISBLANK(EC_comparison[[#This Row],[Minesweeper]])),ISBLANK(EC_comparison[[#This Row],[Aureus]]),ISBLANK(EC_comparison[[#This Row],[Genitalium]]),ISBLANK(EC_comparison[[#This Row],[Pneumoniae]]))</f>
        <v>0</v>
      </c>
      <c r="J150" t="b">
        <f>AND(NOT(ISBLANK(EC_comparison[[#This Row],[Pneumoniae]])),ISBLANK(EC_comparison[[#This Row],[Aureus]]),ISBLANK(EC_comparison[[#This Row],[Genitalium]]),ISBLANK(EC_comparison[[#This Row],[Minesweeper]]))</f>
        <v>0</v>
      </c>
    </row>
    <row r="151" spans="1:10" x14ac:dyDescent="0.25">
      <c r="A151" t="s">
        <v>90</v>
      </c>
      <c r="B151" t="s">
        <v>90</v>
      </c>
      <c r="C151" t="s">
        <v>90</v>
      </c>
      <c r="D151" t="s">
        <v>90</v>
      </c>
      <c r="E151" t="b">
        <f t="shared" si="4"/>
        <v>1</v>
      </c>
      <c r="F151" t="b">
        <f t="shared" si="5"/>
        <v>1</v>
      </c>
      <c r="G151" t="b">
        <f>AND(NOT(ISBLANK(EC_comparison[[#This Row],[Aureus]])),ISBLANK(EC_comparison[[#This Row],[Genitalium]]),ISBLANK(EC_comparison[[#This Row],[Minesweeper]]),ISBLANK(EC_comparison[[#This Row],[Pneumoniae]]))</f>
        <v>0</v>
      </c>
      <c r="H151" t="b">
        <f>AND(NOT(ISBLANK(EC_comparison[[#This Row],[Genitalium]])),ISBLANK(EC_comparison[[#This Row],[Aureus]]),ISBLANK(EC_comparison[[#This Row],[Minesweeper]]),ISBLANK(EC_comparison[[#This Row],[Pneumoniae]]))</f>
        <v>0</v>
      </c>
      <c r="I151" t="b">
        <f>AND(NOT(ISBLANK(EC_comparison[[#This Row],[Minesweeper]])),ISBLANK(EC_comparison[[#This Row],[Aureus]]),ISBLANK(EC_comparison[[#This Row],[Genitalium]]),ISBLANK(EC_comparison[[#This Row],[Pneumoniae]]))</f>
        <v>0</v>
      </c>
      <c r="J151" t="b">
        <f>AND(NOT(ISBLANK(EC_comparison[[#This Row],[Pneumoniae]])),ISBLANK(EC_comparison[[#This Row],[Aureus]]),ISBLANK(EC_comparison[[#This Row],[Genitalium]]),ISBLANK(EC_comparison[[#This Row],[Minesweeper]]))</f>
        <v>0</v>
      </c>
    </row>
    <row r="152" spans="1:10" x14ac:dyDescent="0.25">
      <c r="B152" t="s">
        <v>136</v>
      </c>
      <c r="C152" t="s">
        <v>136</v>
      </c>
      <c r="D152" t="s">
        <v>136</v>
      </c>
      <c r="E152" t="b">
        <f t="shared" si="4"/>
        <v>0</v>
      </c>
      <c r="F152" t="b">
        <f t="shared" si="5"/>
        <v>1</v>
      </c>
      <c r="G152" t="b">
        <f>AND(NOT(ISBLANK(EC_comparison[[#This Row],[Aureus]])),ISBLANK(EC_comparison[[#This Row],[Genitalium]]),ISBLANK(EC_comparison[[#This Row],[Minesweeper]]),ISBLANK(EC_comparison[[#This Row],[Pneumoniae]]))</f>
        <v>0</v>
      </c>
      <c r="H152" t="b">
        <f>AND(NOT(ISBLANK(EC_comparison[[#This Row],[Genitalium]])),ISBLANK(EC_comparison[[#This Row],[Aureus]]),ISBLANK(EC_comparison[[#This Row],[Minesweeper]]),ISBLANK(EC_comparison[[#This Row],[Pneumoniae]]))</f>
        <v>0</v>
      </c>
      <c r="I152" t="b">
        <f>AND(NOT(ISBLANK(EC_comparison[[#This Row],[Minesweeper]])),ISBLANK(EC_comparison[[#This Row],[Aureus]]),ISBLANK(EC_comparison[[#This Row],[Genitalium]]),ISBLANK(EC_comparison[[#This Row],[Pneumoniae]]))</f>
        <v>0</v>
      </c>
      <c r="J152" t="b">
        <f>AND(NOT(ISBLANK(EC_comparison[[#This Row],[Pneumoniae]])),ISBLANK(EC_comparison[[#This Row],[Aureus]]),ISBLANK(EC_comparison[[#This Row],[Genitalium]]),ISBLANK(EC_comparison[[#This Row],[Minesweeper]]))</f>
        <v>0</v>
      </c>
    </row>
    <row r="153" spans="1:10" x14ac:dyDescent="0.25">
      <c r="A153" t="s">
        <v>97</v>
      </c>
      <c r="B153" t="s">
        <v>97</v>
      </c>
      <c r="C153" t="s">
        <v>97</v>
      </c>
      <c r="D153" t="s">
        <v>97</v>
      </c>
      <c r="E153" t="b">
        <f t="shared" si="4"/>
        <v>1</v>
      </c>
      <c r="F153" t="b">
        <f t="shared" si="5"/>
        <v>1</v>
      </c>
      <c r="G153" t="b">
        <f>AND(NOT(ISBLANK(EC_comparison[[#This Row],[Aureus]])),ISBLANK(EC_comparison[[#This Row],[Genitalium]]),ISBLANK(EC_comparison[[#This Row],[Minesweeper]]),ISBLANK(EC_comparison[[#This Row],[Pneumoniae]]))</f>
        <v>0</v>
      </c>
      <c r="H153" t="b">
        <f>AND(NOT(ISBLANK(EC_comparison[[#This Row],[Genitalium]])),ISBLANK(EC_comparison[[#This Row],[Aureus]]),ISBLANK(EC_comparison[[#This Row],[Minesweeper]]),ISBLANK(EC_comparison[[#This Row],[Pneumoniae]]))</f>
        <v>0</v>
      </c>
      <c r="I153" t="b">
        <f>AND(NOT(ISBLANK(EC_comparison[[#This Row],[Minesweeper]])),ISBLANK(EC_comparison[[#This Row],[Aureus]]),ISBLANK(EC_comparison[[#This Row],[Genitalium]]),ISBLANK(EC_comparison[[#This Row],[Pneumoniae]]))</f>
        <v>0</v>
      </c>
      <c r="J153" t="b">
        <f>AND(NOT(ISBLANK(EC_comparison[[#This Row],[Pneumoniae]])),ISBLANK(EC_comparison[[#This Row],[Aureus]]),ISBLANK(EC_comparison[[#This Row],[Genitalium]]),ISBLANK(EC_comparison[[#This Row],[Minesweeper]]))</f>
        <v>0</v>
      </c>
    </row>
    <row r="154" spans="1:10" x14ac:dyDescent="0.25">
      <c r="A154" t="s">
        <v>104</v>
      </c>
      <c r="B154" t="s">
        <v>104</v>
      </c>
      <c r="C154" t="s">
        <v>104</v>
      </c>
      <c r="D154" t="s">
        <v>104</v>
      </c>
      <c r="E154" t="b">
        <f t="shared" si="4"/>
        <v>1</v>
      </c>
      <c r="F154" t="b">
        <f t="shared" si="5"/>
        <v>1</v>
      </c>
      <c r="G154" t="b">
        <f>AND(NOT(ISBLANK(EC_comparison[[#This Row],[Aureus]])),ISBLANK(EC_comparison[[#This Row],[Genitalium]]),ISBLANK(EC_comparison[[#This Row],[Minesweeper]]),ISBLANK(EC_comparison[[#This Row],[Pneumoniae]]))</f>
        <v>0</v>
      </c>
      <c r="H154" t="b">
        <f>AND(NOT(ISBLANK(EC_comparison[[#This Row],[Genitalium]])),ISBLANK(EC_comparison[[#This Row],[Aureus]]),ISBLANK(EC_comparison[[#This Row],[Minesweeper]]),ISBLANK(EC_comparison[[#This Row],[Pneumoniae]]))</f>
        <v>0</v>
      </c>
      <c r="I154" t="b">
        <f>AND(NOT(ISBLANK(EC_comparison[[#This Row],[Minesweeper]])),ISBLANK(EC_comparison[[#This Row],[Aureus]]),ISBLANK(EC_comparison[[#This Row],[Genitalium]]),ISBLANK(EC_comparison[[#This Row],[Pneumoniae]]))</f>
        <v>0</v>
      </c>
      <c r="J154" t="b">
        <f>AND(NOT(ISBLANK(EC_comparison[[#This Row],[Pneumoniae]])),ISBLANK(EC_comparison[[#This Row],[Aureus]]),ISBLANK(EC_comparison[[#This Row],[Genitalium]]),ISBLANK(EC_comparison[[#This Row],[Minesweeper]]))</f>
        <v>0</v>
      </c>
    </row>
    <row r="155" spans="1:10" x14ac:dyDescent="0.25">
      <c r="A155" t="s">
        <v>50</v>
      </c>
      <c r="B155" t="s">
        <v>50</v>
      </c>
      <c r="C155" t="s">
        <v>50</v>
      </c>
      <c r="D155" t="s">
        <v>50</v>
      </c>
      <c r="E155" t="b">
        <f t="shared" si="4"/>
        <v>1</v>
      </c>
      <c r="F155" t="b">
        <f t="shared" si="5"/>
        <v>1</v>
      </c>
      <c r="G155" t="b">
        <f>AND(NOT(ISBLANK(EC_comparison[[#This Row],[Aureus]])),ISBLANK(EC_comparison[[#This Row],[Genitalium]]),ISBLANK(EC_comparison[[#This Row],[Minesweeper]]),ISBLANK(EC_comparison[[#This Row],[Pneumoniae]]))</f>
        <v>0</v>
      </c>
      <c r="H155" t="b">
        <f>AND(NOT(ISBLANK(EC_comparison[[#This Row],[Genitalium]])),ISBLANK(EC_comparison[[#This Row],[Aureus]]),ISBLANK(EC_comparison[[#This Row],[Minesweeper]]),ISBLANK(EC_comparison[[#This Row],[Pneumoniae]]))</f>
        <v>0</v>
      </c>
      <c r="I155" t="b">
        <f>AND(NOT(ISBLANK(EC_comparison[[#This Row],[Minesweeper]])),ISBLANK(EC_comparison[[#This Row],[Aureus]]),ISBLANK(EC_comparison[[#This Row],[Genitalium]]),ISBLANK(EC_comparison[[#This Row],[Pneumoniae]]))</f>
        <v>0</v>
      </c>
      <c r="J155" t="b">
        <f>AND(NOT(ISBLANK(EC_comparison[[#This Row],[Pneumoniae]])),ISBLANK(EC_comparison[[#This Row],[Aureus]]),ISBLANK(EC_comparison[[#This Row],[Genitalium]]),ISBLANK(EC_comparison[[#This Row],[Minesweeper]]))</f>
        <v>0</v>
      </c>
    </row>
    <row r="156" spans="1:10" x14ac:dyDescent="0.25">
      <c r="A156" t="s">
        <v>14</v>
      </c>
      <c r="B156" t="s">
        <v>14</v>
      </c>
      <c r="C156" t="s">
        <v>14</v>
      </c>
      <c r="D156" t="s">
        <v>14</v>
      </c>
      <c r="E156" t="b">
        <f t="shared" si="4"/>
        <v>1</v>
      </c>
      <c r="F156" t="b">
        <f t="shared" si="5"/>
        <v>1</v>
      </c>
      <c r="G156" t="b">
        <f>AND(NOT(ISBLANK(EC_comparison[[#This Row],[Aureus]])),ISBLANK(EC_comparison[[#This Row],[Genitalium]]),ISBLANK(EC_comparison[[#This Row],[Minesweeper]]),ISBLANK(EC_comparison[[#This Row],[Pneumoniae]]))</f>
        <v>0</v>
      </c>
      <c r="H156" t="b">
        <f>AND(NOT(ISBLANK(EC_comparison[[#This Row],[Genitalium]])),ISBLANK(EC_comparison[[#This Row],[Aureus]]),ISBLANK(EC_comparison[[#This Row],[Minesweeper]]),ISBLANK(EC_comparison[[#This Row],[Pneumoniae]]))</f>
        <v>0</v>
      </c>
      <c r="I156" t="b">
        <f>AND(NOT(ISBLANK(EC_comparison[[#This Row],[Minesweeper]])),ISBLANK(EC_comparison[[#This Row],[Aureus]]),ISBLANK(EC_comparison[[#This Row],[Genitalium]]),ISBLANK(EC_comparison[[#This Row],[Pneumoniae]]))</f>
        <v>0</v>
      </c>
      <c r="J156" t="b">
        <f>AND(NOT(ISBLANK(EC_comparison[[#This Row],[Pneumoniae]])),ISBLANK(EC_comparison[[#This Row],[Aureus]]),ISBLANK(EC_comparison[[#This Row],[Genitalium]]),ISBLANK(EC_comparison[[#This Row],[Minesweeper]]))</f>
        <v>0</v>
      </c>
    </row>
    <row r="157" spans="1:10" x14ac:dyDescent="0.25">
      <c r="A157" t="s">
        <v>88</v>
      </c>
      <c r="B157" t="s">
        <v>88</v>
      </c>
      <c r="C157" t="s">
        <v>88</v>
      </c>
      <c r="D157" t="s">
        <v>88</v>
      </c>
      <c r="E157" t="b">
        <f t="shared" si="4"/>
        <v>1</v>
      </c>
      <c r="F157" t="b">
        <f t="shared" si="5"/>
        <v>1</v>
      </c>
      <c r="G157" t="b">
        <f>AND(NOT(ISBLANK(EC_comparison[[#This Row],[Aureus]])),ISBLANK(EC_comparison[[#This Row],[Genitalium]]),ISBLANK(EC_comparison[[#This Row],[Minesweeper]]),ISBLANK(EC_comparison[[#This Row],[Pneumoniae]]))</f>
        <v>0</v>
      </c>
      <c r="H157" t="b">
        <f>AND(NOT(ISBLANK(EC_comparison[[#This Row],[Genitalium]])),ISBLANK(EC_comparison[[#This Row],[Aureus]]),ISBLANK(EC_comparison[[#This Row],[Minesweeper]]),ISBLANK(EC_comparison[[#This Row],[Pneumoniae]]))</f>
        <v>0</v>
      </c>
      <c r="I157" t="b">
        <f>AND(NOT(ISBLANK(EC_comparison[[#This Row],[Minesweeper]])),ISBLANK(EC_comparison[[#This Row],[Aureus]]),ISBLANK(EC_comparison[[#This Row],[Genitalium]]),ISBLANK(EC_comparison[[#This Row],[Pneumoniae]]))</f>
        <v>0</v>
      </c>
      <c r="J157" t="b">
        <f>AND(NOT(ISBLANK(EC_comparison[[#This Row],[Pneumoniae]])),ISBLANK(EC_comparison[[#This Row],[Aureus]]),ISBLANK(EC_comparison[[#This Row],[Genitalium]]),ISBLANK(EC_comparison[[#This Row],[Minesweeper]]))</f>
        <v>0</v>
      </c>
    </row>
    <row r="158" spans="1:10" x14ac:dyDescent="0.25">
      <c r="A158" t="s">
        <v>93</v>
      </c>
      <c r="B158" t="s">
        <v>93</v>
      </c>
      <c r="C158" t="s">
        <v>93</v>
      </c>
      <c r="D158" t="s">
        <v>93</v>
      </c>
      <c r="E158" t="b">
        <f t="shared" si="4"/>
        <v>1</v>
      </c>
      <c r="F158" t="b">
        <f t="shared" si="5"/>
        <v>1</v>
      </c>
      <c r="G158" t="b">
        <f>AND(NOT(ISBLANK(EC_comparison[[#This Row],[Aureus]])),ISBLANK(EC_comparison[[#This Row],[Genitalium]]),ISBLANK(EC_comparison[[#This Row],[Minesweeper]]),ISBLANK(EC_comparison[[#This Row],[Pneumoniae]]))</f>
        <v>0</v>
      </c>
      <c r="H158" t="b">
        <f>AND(NOT(ISBLANK(EC_comparison[[#This Row],[Genitalium]])),ISBLANK(EC_comparison[[#This Row],[Aureus]]),ISBLANK(EC_comparison[[#This Row],[Minesweeper]]),ISBLANK(EC_comparison[[#This Row],[Pneumoniae]]))</f>
        <v>0</v>
      </c>
      <c r="I158" t="b">
        <f>AND(NOT(ISBLANK(EC_comparison[[#This Row],[Minesweeper]])),ISBLANK(EC_comparison[[#This Row],[Aureus]]),ISBLANK(EC_comparison[[#This Row],[Genitalium]]),ISBLANK(EC_comparison[[#This Row],[Pneumoniae]]))</f>
        <v>0</v>
      </c>
      <c r="J158" t="b">
        <f>AND(NOT(ISBLANK(EC_comparison[[#This Row],[Pneumoniae]])),ISBLANK(EC_comparison[[#This Row],[Aureus]]),ISBLANK(EC_comparison[[#This Row],[Genitalium]]),ISBLANK(EC_comparison[[#This Row],[Minesweeper]]))</f>
        <v>0</v>
      </c>
    </row>
    <row r="159" spans="1:10" x14ac:dyDescent="0.25">
      <c r="A159" t="s">
        <v>61</v>
      </c>
      <c r="E159" t="b">
        <f t="shared" si="4"/>
        <v>0</v>
      </c>
      <c r="F159" t="b">
        <f t="shared" si="5"/>
        <v>0</v>
      </c>
      <c r="G159" t="b">
        <f>AND(NOT(ISBLANK(EC_comparison[[#This Row],[Aureus]])),ISBLANK(EC_comparison[[#This Row],[Genitalium]]),ISBLANK(EC_comparison[[#This Row],[Minesweeper]]),ISBLANK(EC_comparison[[#This Row],[Pneumoniae]]))</f>
        <v>1</v>
      </c>
      <c r="H159" t="b">
        <f>AND(NOT(ISBLANK(EC_comparison[[#This Row],[Genitalium]])),ISBLANK(EC_comparison[[#This Row],[Aureus]]),ISBLANK(EC_comparison[[#This Row],[Minesweeper]]),ISBLANK(EC_comparison[[#This Row],[Pneumoniae]]))</f>
        <v>0</v>
      </c>
      <c r="I159" t="b">
        <f>AND(NOT(ISBLANK(EC_comparison[[#This Row],[Minesweeper]])),ISBLANK(EC_comparison[[#This Row],[Aureus]]),ISBLANK(EC_comparison[[#This Row],[Genitalium]]),ISBLANK(EC_comparison[[#This Row],[Pneumoniae]]))</f>
        <v>0</v>
      </c>
      <c r="J159" t="b">
        <f>AND(NOT(ISBLANK(EC_comparison[[#This Row],[Pneumoniae]])),ISBLANK(EC_comparison[[#This Row],[Aureus]]),ISBLANK(EC_comparison[[#This Row],[Genitalium]]),ISBLANK(EC_comparison[[#This Row],[Minesweeper]]))</f>
        <v>0</v>
      </c>
    </row>
    <row r="160" spans="1:10" x14ac:dyDescent="0.25">
      <c r="A160" t="s">
        <v>68</v>
      </c>
      <c r="E160" t="b">
        <f t="shared" si="4"/>
        <v>0</v>
      </c>
      <c r="F160" t="b">
        <f t="shared" si="5"/>
        <v>0</v>
      </c>
      <c r="G160" t="b">
        <f>AND(NOT(ISBLANK(EC_comparison[[#This Row],[Aureus]])),ISBLANK(EC_comparison[[#This Row],[Genitalium]]),ISBLANK(EC_comparison[[#This Row],[Minesweeper]]),ISBLANK(EC_comparison[[#This Row],[Pneumoniae]]))</f>
        <v>1</v>
      </c>
      <c r="H160" t="b">
        <f>AND(NOT(ISBLANK(EC_comparison[[#This Row],[Genitalium]])),ISBLANK(EC_comparison[[#This Row],[Aureus]]),ISBLANK(EC_comparison[[#This Row],[Minesweeper]]),ISBLANK(EC_comparison[[#This Row],[Pneumoniae]]))</f>
        <v>0</v>
      </c>
      <c r="I160" t="b">
        <f>AND(NOT(ISBLANK(EC_comparison[[#This Row],[Minesweeper]])),ISBLANK(EC_comparison[[#This Row],[Aureus]]),ISBLANK(EC_comparison[[#This Row],[Genitalium]]),ISBLANK(EC_comparison[[#This Row],[Pneumoniae]]))</f>
        <v>0</v>
      </c>
      <c r="J160" t="b">
        <f>AND(NOT(ISBLANK(EC_comparison[[#This Row],[Pneumoniae]])),ISBLANK(EC_comparison[[#This Row],[Aureus]]),ISBLANK(EC_comparison[[#This Row],[Genitalium]]),ISBLANK(EC_comparison[[#This Row],[Minesweeper]]))</f>
        <v>0</v>
      </c>
    </row>
    <row r="161" spans="1:10" x14ac:dyDescent="0.25">
      <c r="A161" t="s">
        <v>108</v>
      </c>
      <c r="C161" t="s">
        <v>108</v>
      </c>
      <c r="D161" t="s">
        <v>108</v>
      </c>
      <c r="E161" t="b">
        <f t="shared" si="4"/>
        <v>0</v>
      </c>
      <c r="F161" t="b">
        <f t="shared" si="5"/>
        <v>0</v>
      </c>
      <c r="G161" t="b">
        <f>AND(NOT(ISBLANK(EC_comparison[[#This Row],[Aureus]])),ISBLANK(EC_comparison[[#This Row],[Genitalium]]),ISBLANK(EC_comparison[[#This Row],[Minesweeper]]),ISBLANK(EC_comparison[[#This Row],[Pneumoniae]]))</f>
        <v>0</v>
      </c>
      <c r="H161" t="b">
        <f>AND(NOT(ISBLANK(EC_comparison[[#This Row],[Genitalium]])),ISBLANK(EC_comparison[[#This Row],[Aureus]]),ISBLANK(EC_comparison[[#This Row],[Minesweeper]]),ISBLANK(EC_comparison[[#This Row],[Pneumoniae]]))</f>
        <v>0</v>
      </c>
      <c r="I161" t="b">
        <f>AND(NOT(ISBLANK(EC_comparison[[#This Row],[Minesweeper]])),ISBLANK(EC_comparison[[#This Row],[Aureus]]),ISBLANK(EC_comparison[[#This Row],[Genitalium]]),ISBLANK(EC_comparison[[#This Row],[Pneumoniae]]))</f>
        <v>0</v>
      </c>
      <c r="J161" t="b">
        <f>AND(NOT(ISBLANK(EC_comparison[[#This Row],[Pneumoniae]])),ISBLANK(EC_comparison[[#This Row],[Aureus]]),ISBLANK(EC_comparison[[#This Row],[Genitalium]]),ISBLANK(EC_comparison[[#This Row],[Minesweeper]]))</f>
        <v>0</v>
      </c>
    </row>
    <row r="162" spans="1:10" x14ac:dyDescent="0.25">
      <c r="B162" t="s">
        <v>146</v>
      </c>
      <c r="E162" t="b">
        <f t="shared" si="4"/>
        <v>0</v>
      </c>
      <c r="F162" t="b">
        <f t="shared" si="5"/>
        <v>0</v>
      </c>
      <c r="G162" t="b">
        <f>AND(NOT(ISBLANK(EC_comparison[[#This Row],[Aureus]])),ISBLANK(EC_comparison[[#This Row],[Genitalium]]),ISBLANK(EC_comparison[[#This Row],[Minesweeper]]),ISBLANK(EC_comparison[[#This Row],[Pneumoniae]]))</f>
        <v>0</v>
      </c>
      <c r="H162" t="b">
        <f>AND(NOT(ISBLANK(EC_comparison[[#This Row],[Genitalium]])),ISBLANK(EC_comparison[[#This Row],[Aureus]]),ISBLANK(EC_comparison[[#This Row],[Minesweeper]]),ISBLANK(EC_comparison[[#This Row],[Pneumoniae]]))</f>
        <v>1</v>
      </c>
      <c r="I162" t="b">
        <f>AND(NOT(ISBLANK(EC_comparison[[#This Row],[Minesweeper]])),ISBLANK(EC_comparison[[#This Row],[Aureus]]),ISBLANK(EC_comparison[[#This Row],[Genitalium]]),ISBLANK(EC_comparison[[#This Row],[Pneumoniae]]))</f>
        <v>0</v>
      </c>
      <c r="J162" t="b">
        <f>AND(NOT(ISBLANK(EC_comparison[[#This Row],[Pneumoniae]])),ISBLANK(EC_comparison[[#This Row],[Aureus]]),ISBLANK(EC_comparison[[#This Row],[Genitalium]]),ISBLANK(EC_comparison[[#This Row],[Minesweeper]]))</f>
        <v>0</v>
      </c>
    </row>
    <row r="163" spans="1:10" x14ac:dyDescent="0.25">
      <c r="B163" t="s">
        <v>108</v>
      </c>
      <c r="E163" t="b">
        <f t="shared" si="4"/>
        <v>0</v>
      </c>
      <c r="F163" t="b">
        <f t="shared" si="5"/>
        <v>0</v>
      </c>
      <c r="G163" t="b">
        <f>AND(NOT(ISBLANK(EC_comparison[[#This Row],[Aureus]])),ISBLANK(EC_comparison[[#This Row],[Genitalium]]),ISBLANK(EC_comparison[[#This Row],[Minesweeper]]),ISBLANK(EC_comparison[[#This Row],[Pneumoniae]]))</f>
        <v>0</v>
      </c>
      <c r="H163" t="b">
        <f>AND(NOT(ISBLANK(EC_comparison[[#This Row],[Genitalium]])),ISBLANK(EC_comparison[[#This Row],[Aureus]]),ISBLANK(EC_comparison[[#This Row],[Minesweeper]]),ISBLANK(EC_comparison[[#This Row],[Pneumoniae]]))</f>
        <v>1</v>
      </c>
      <c r="I163" t="b">
        <f>AND(NOT(ISBLANK(EC_comparison[[#This Row],[Minesweeper]])),ISBLANK(EC_comparison[[#This Row],[Aureus]]),ISBLANK(EC_comparison[[#This Row],[Genitalium]]),ISBLANK(EC_comparison[[#This Row],[Pneumoniae]]))</f>
        <v>0</v>
      </c>
      <c r="J163" t="b">
        <f>AND(NOT(ISBLANK(EC_comparison[[#This Row],[Pneumoniae]])),ISBLANK(EC_comparison[[#This Row],[Aureus]]),ISBLANK(EC_comparison[[#This Row],[Genitalium]]),ISBLANK(EC_comparison[[#This Row],[Minesweeper]]))</f>
        <v>0</v>
      </c>
    </row>
    <row r="164" spans="1:10" x14ac:dyDescent="0.25">
      <c r="A164" t="s">
        <v>38</v>
      </c>
      <c r="E164" t="b">
        <f t="shared" si="4"/>
        <v>0</v>
      </c>
      <c r="F164" t="b">
        <f t="shared" si="5"/>
        <v>0</v>
      </c>
      <c r="G164" t="b">
        <f>AND(NOT(ISBLANK(EC_comparison[[#This Row],[Aureus]])),ISBLANK(EC_comparison[[#This Row],[Genitalium]]),ISBLANK(EC_comparison[[#This Row],[Minesweeper]]),ISBLANK(EC_comparison[[#This Row],[Pneumoniae]]))</f>
        <v>1</v>
      </c>
      <c r="H164" t="b">
        <f>AND(NOT(ISBLANK(EC_comparison[[#This Row],[Genitalium]])),ISBLANK(EC_comparison[[#This Row],[Aureus]]),ISBLANK(EC_comparison[[#This Row],[Minesweeper]]),ISBLANK(EC_comparison[[#This Row],[Pneumoniae]]))</f>
        <v>0</v>
      </c>
      <c r="I164" t="b">
        <f>AND(NOT(ISBLANK(EC_comparison[[#This Row],[Minesweeper]])),ISBLANK(EC_comparison[[#This Row],[Aureus]]),ISBLANK(EC_comparison[[#This Row],[Genitalium]]),ISBLANK(EC_comparison[[#This Row],[Pneumoniae]]))</f>
        <v>0</v>
      </c>
      <c r="J164" t="b">
        <f>AND(NOT(ISBLANK(EC_comparison[[#This Row],[Pneumoniae]])),ISBLANK(EC_comparison[[#This Row],[Aureus]]),ISBLANK(EC_comparison[[#This Row],[Genitalium]]),ISBLANK(EC_comparison[[#This Row],[Minesweeper]]))</f>
        <v>0</v>
      </c>
    </row>
    <row r="165" spans="1:10" x14ac:dyDescent="0.25">
      <c r="A165" t="s">
        <v>92</v>
      </c>
      <c r="E165" t="b">
        <f t="shared" si="4"/>
        <v>0</v>
      </c>
      <c r="F165" t="b">
        <f t="shared" si="5"/>
        <v>0</v>
      </c>
      <c r="G165" t="b">
        <f>AND(NOT(ISBLANK(EC_comparison[[#This Row],[Aureus]])),ISBLANK(EC_comparison[[#This Row],[Genitalium]]),ISBLANK(EC_comparison[[#This Row],[Minesweeper]]),ISBLANK(EC_comparison[[#This Row],[Pneumoniae]]))</f>
        <v>1</v>
      </c>
      <c r="H165" t="b">
        <f>AND(NOT(ISBLANK(EC_comparison[[#This Row],[Genitalium]])),ISBLANK(EC_comparison[[#This Row],[Aureus]]),ISBLANK(EC_comparison[[#This Row],[Minesweeper]]),ISBLANK(EC_comparison[[#This Row],[Pneumoniae]]))</f>
        <v>0</v>
      </c>
      <c r="I165" t="b">
        <f>AND(NOT(ISBLANK(EC_comparison[[#This Row],[Minesweeper]])),ISBLANK(EC_comparison[[#This Row],[Aureus]]),ISBLANK(EC_comparison[[#This Row],[Genitalium]]),ISBLANK(EC_comparison[[#This Row],[Pneumoniae]]))</f>
        <v>0</v>
      </c>
      <c r="J165" t="b">
        <f>AND(NOT(ISBLANK(EC_comparison[[#This Row],[Pneumoniae]])),ISBLANK(EC_comparison[[#This Row],[Aureus]]),ISBLANK(EC_comparison[[#This Row],[Genitalium]]),ISBLANK(EC_comparison[[#This Row],[Minesweeper]]))</f>
        <v>0</v>
      </c>
    </row>
    <row r="166" spans="1:10" x14ac:dyDescent="0.25">
      <c r="A166" t="s">
        <v>112</v>
      </c>
      <c r="E166" t="b">
        <f t="shared" si="4"/>
        <v>0</v>
      </c>
      <c r="F166" t="b">
        <f t="shared" si="5"/>
        <v>0</v>
      </c>
      <c r="G166" t="b">
        <f>AND(NOT(ISBLANK(EC_comparison[[#This Row],[Aureus]])),ISBLANK(EC_comparison[[#This Row],[Genitalium]]),ISBLANK(EC_comparison[[#This Row],[Minesweeper]]),ISBLANK(EC_comparison[[#This Row],[Pneumoniae]]))</f>
        <v>1</v>
      </c>
      <c r="H166" t="b">
        <f>AND(NOT(ISBLANK(EC_comparison[[#This Row],[Genitalium]])),ISBLANK(EC_comparison[[#This Row],[Aureus]]),ISBLANK(EC_comparison[[#This Row],[Minesweeper]]),ISBLANK(EC_comparison[[#This Row],[Pneumoniae]]))</f>
        <v>0</v>
      </c>
      <c r="I166" t="b">
        <f>AND(NOT(ISBLANK(EC_comparison[[#This Row],[Minesweeper]])),ISBLANK(EC_comparison[[#This Row],[Aureus]]),ISBLANK(EC_comparison[[#This Row],[Genitalium]]),ISBLANK(EC_comparison[[#This Row],[Pneumoniae]]))</f>
        <v>0</v>
      </c>
      <c r="J166" t="b">
        <f>AND(NOT(ISBLANK(EC_comparison[[#This Row],[Pneumoniae]])),ISBLANK(EC_comparison[[#This Row],[Aureus]]),ISBLANK(EC_comparison[[#This Row],[Genitalium]]),ISBLANK(EC_comparison[[#This Row],[Minesweeper]]))</f>
        <v>0</v>
      </c>
    </row>
    <row r="167" spans="1:10" x14ac:dyDescent="0.25">
      <c r="A167" t="s">
        <v>103</v>
      </c>
      <c r="E167" t="b">
        <f t="shared" si="4"/>
        <v>0</v>
      </c>
      <c r="F167" t="b">
        <f t="shared" si="5"/>
        <v>0</v>
      </c>
      <c r="G167" t="b">
        <f>AND(NOT(ISBLANK(EC_comparison[[#This Row],[Aureus]])),ISBLANK(EC_comparison[[#This Row],[Genitalium]]),ISBLANK(EC_comparison[[#This Row],[Minesweeper]]),ISBLANK(EC_comparison[[#This Row],[Pneumoniae]]))</f>
        <v>1</v>
      </c>
      <c r="H167" t="b">
        <f>AND(NOT(ISBLANK(EC_comparison[[#This Row],[Genitalium]])),ISBLANK(EC_comparison[[#This Row],[Aureus]]),ISBLANK(EC_comparison[[#This Row],[Minesweeper]]),ISBLANK(EC_comparison[[#This Row],[Pneumoniae]]))</f>
        <v>0</v>
      </c>
      <c r="I167" t="b">
        <f>AND(NOT(ISBLANK(EC_comparison[[#This Row],[Minesweeper]])),ISBLANK(EC_comparison[[#This Row],[Aureus]]),ISBLANK(EC_comparison[[#This Row],[Genitalium]]),ISBLANK(EC_comparison[[#This Row],[Pneumoniae]]))</f>
        <v>0</v>
      </c>
      <c r="J167" t="b">
        <f>AND(NOT(ISBLANK(EC_comparison[[#This Row],[Pneumoniae]])),ISBLANK(EC_comparison[[#This Row],[Aureus]]),ISBLANK(EC_comparison[[#This Row],[Genitalium]]),ISBLANK(EC_comparison[[#This Row],[Minesweeper]]))</f>
        <v>0</v>
      </c>
    </row>
    <row r="168" spans="1:10" x14ac:dyDescent="0.25">
      <c r="A168" t="s">
        <v>49</v>
      </c>
      <c r="E168" t="b">
        <f t="shared" si="4"/>
        <v>0</v>
      </c>
      <c r="F168" t="b">
        <f t="shared" si="5"/>
        <v>0</v>
      </c>
      <c r="G168" t="b">
        <f>AND(NOT(ISBLANK(EC_comparison[[#This Row],[Aureus]])),ISBLANK(EC_comparison[[#This Row],[Genitalium]]),ISBLANK(EC_comparison[[#This Row],[Minesweeper]]),ISBLANK(EC_comparison[[#This Row],[Pneumoniae]]))</f>
        <v>1</v>
      </c>
      <c r="H168" t="b">
        <f>AND(NOT(ISBLANK(EC_comparison[[#This Row],[Genitalium]])),ISBLANK(EC_comparison[[#This Row],[Aureus]]),ISBLANK(EC_comparison[[#This Row],[Minesweeper]]),ISBLANK(EC_comparison[[#This Row],[Pneumoniae]]))</f>
        <v>0</v>
      </c>
      <c r="I168" t="b">
        <f>AND(NOT(ISBLANK(EC_comparison[[#This Row],[Minesweeper]])),ISBLANK(EC_comparison[[#This Row],[Aureus]]),ISBLANK(EC_comparison[[#This Row],[Genitalium]]),ISBLANK(EC_comparison[[#This Row],[Pneumoniae]]))</f>
        <v>0</v>
      </c>
      <c r="J168" t="b">
        <f>AND(NOT(ISBLANK(EC_comparison[[#This Row],[Pneumoniae]])),ISBLANK(EC_comparison[[#This Row],[Aureus]]),ISBLANK(EC_comparison[[#This Row],[Genitalium]]),ISBLANK(EC_comparison[[#This Row],[Minesweeper]]))</f>
        <v>0</v>
      </c>
    </row>
    <row r="169" spans="1:10" x14ac:dyDescent="0.25">
      <c r="A169" t="s">
        <v>73</v>
      </c>
      <c r="E169" t="b">
        <f t="shared" si="4"/>
        <v>0</v>
      </c>
      <c r="F169" t="b">
        <f t="shared" si="5"/>
        <v>0</v>
      </c>
      <c r="G169" t="b">
        <f>AND(NOT(ISBLANK(EC_comparison[[#This Row],[Aureus]])),ISBLANK(EC_comparison[[#This Row],[Genitalium]]),ISBLANK(EC_comparison[[#This Row],[Minesweeper]]),ISBLANK(EC_comparison[[#This Row],[Pneumoniae]]))</f>
        <v>1</v>
      </c>
      <c r="H169" t="b">
        <f>AND(NOT(ISBLANK(EC_comparison[[#This Row],[Genitalium]])),ISBLANK(EC_comparison[[#This Row],[Aureus]]),ISBLANK(EC_comparison[[#This Row],[Minesweeper]]),ISBLANK(EC_comparison[[#This Row],[Pneumoniae]]))</f>
        <v>0</v>
      </c>
      <c r="I169" t="b">
        <f>AND(NOT(ISBLANK(EC_comparison[[#This Row],[Minesweeper]])),ISBLANK(EC_comparison[[#This Row],[Aureus]]),ISBLANK(EC_comparison[[#This Row],[Genitalium]]),ISBLANK(EC_comparison[[#This Row],[Pneumoniae]]))</f>
        <v>0</v>
      </c>
      <c r="J169" t="b">
        <f>AND(NOT(ISBLANK(EC_comparison[[#This Row],[Pneumoniae]])),ISBLANK(EC_comparison[[#This Row],[Aureus]]),ISBLANK(EC_comparison[[#This Row],[Genitalium]]),ISBLANK(EC_comparison[[#This Row],[Minesweeper]]))</f>
        <v>0</v>
      </c>
    </row>
    <row r="170" spans="1:10" x14ac:dyDescent="0.25">
      <c r="B170" t="s">
        <v>134</v>
      </c>
      <c r="C170" t="s">
        <v>134</v>
      </c>
      <c r="D170" t="s">
        <v>134</v>
      </c>
      <c r="E170" t="b">
        <f t="shared" si="4"/>
        <v>0</v>
      </c>
      <c r="F170" t="b">
        <f t="shared" si="5"/>
        <v>1</v>
      </c>
      <c r="G170" t="b">
        <f>AND(NOT(ISBLANK(EC_comparison[[#This Row],[Aureus]])),ISBLANK(EC_comparison[[#This Row],[Genitalium]]),ISBLANK(EC_comparison[[#This Row],[Minesweeper]]),ISBLANK(EC_comparison[[#This Row],[Pneumoniae]]))</f>
        <v>0</v>
      </c>
      <c r="H170" t="b">
        <f>AND(NOT(ISBLANK(EC_comparison[[#This Row],[Genitalium]])),ISBLANK(EC_comparison[[#This Row],[Aureus]]),ISBLANK(EC_comparison[[#This Row],[Minesweeper]]),ISBLANK(EC_comparison[[#This Row],[Pneumoniae]]))</f>
        <v>0</v>
      </c>
      <c r="I170" t="b">
        <f>AND(NOT(ISBLANK(EC_comparison[[#This Row],[Minesweeper]])),ISBLANK(EC_comparison[[#This Row],[Aureus]]),ISBLANK(EC_comparison[[#This Row],[Genitalium]]),ISBLANK(EC_comparison[[#This Row],[Pneumoniae]]))</f>
        <v>0</v>
      </c>
      <c r="J170" t="b">
        <f>AND(NOT(ISBLANK(EC_comparison[[#This Row],[Pneumoniae]])),ISBLANK(EC_comparison[[#This Row],[Aureus]]),ISBLANK(EC_comparison[[#This Row],[Genitalium]]),ISBLANK(EC_comparison[[#This Row],[Minesweeper]]))</f>
        <v>0</v>
      </c>
    </row>
    <row r="171" spans="1:10" x14ac:dyDescent="0.25">
      <c r="A171" t="s">
        <v>115</v>
      </c>
      <c r="E171" t="b">
        <f t="shared" si="4"/>
        <v>0</v>
      </c>
      <c r="F171" t="b">
        <f t="shared" si="5"/>
        <v>0</v>
      </c>
      <c r="G171" t="b">
        <f>AND(NOT(ISBLANK(EC_comparison[[#This Row],[Aureus]])),ISBLANK(EC_comparison[[#This Row],[Genitalium]]),ISBLANK(EC_comparison[[#This Row],[Minesweeper]]),ISBLANK(EC_comparison[[#This Row],[Pneumoniae]]))</f>
        <v>1</v>
      </c>
      <c r="H171" t="b">
        <f>AND(NOT(ISBLANK(EC_comparison[[#This Row],[Genitalium]])),ISBLANK(EC_comparison[[#This Row],[Aureus]]),ISBLANK(EC_comparison[[#This Row],[Minesweeper]]),ISBLANK(EC_comparison[[#This Row],[Pneumoniae]]))</f>
        <v>0</v>
      </c>
      <c r="I171" t="b">
        <f>AND(NOT(ISBLANK(EC_comparison[[#This Row],[Minesweeper]])),ISBLANK(EC_comparison[[#This Row],[Aureus]]),ISBLANK(EC_comparison[[#This Row],[Genitalium]]),ISBLANK(EC_comparison[[#This Row],[Pneumoniae]]))</f>
        <v>0</v>
      </c>
      <c r="J171" t="b">
        <f>AND(NOT(ISBLANK(EC_comparison[[#This Row],[Pneumoniae]])),ISBLANK(EC_comparison[[#This Row],[Aureus]]),ISBLANK(EC_comparison[[#This Row],[Genitalium]]),ISBLANK(EC_comparison[[#This Row],[Minesweeper]]))</f>
        <v>0</v>
      </c>
    </row>
    <row r="172" spans="1:10" x14ac:dyDescent="0.25">
      <c r="A172" t="s">
        <v>109</v>
      </c>
      <c r="B172" t="s">
        <v>109</v>
      </c>
      <c r="D172" t="s">
        <v>109</v>
      </c>
      <c r="E172" t="b">
        <f t="shared" si="4"/>
        <v>0</v>
      </c>
      <c r="F172" t="b">
        <f t="shared" si="5"/>
        <v>0</v>
      </c>
      <c r="G172" t="b">
        <f>AND(NOT(ISBLANK(EC_comparison[[#This Row],[Aureus]])),ISBLANK(EC_comparison[[#This Row],[Genitalium]]),ISBLANK(EC_comparison[[#This Row],[Minesweeper]]),ISBLANK(EC_comparison[[#This Row],[Pneumoniae]]))</f>
        <v>0</v>
      </c>
      <c r="H172" t="b">
        <f>AND(NOT(ISBLANK(EC_comparison[[#This Row],[Genitalium]])),ISBLANK(EC_comparison[[#This Row],[Aureus]]),ISBLANK(EC_comparison[[#This Row],[Minesweeper]]),ISBLANK(EC_comparison[[#This Row],[Pneumoniae]]))</f>
        <v>0</v>
      </c>
      <c r="I172" t="b">
        <f>AND(NOT(ISBLANK(EC_comparison[[#This Row],[Minesweeper]])),ISBLANK(EC_comparison[[#This Row],[Aureus]]),ISBLANK(EC_comparison[[#This Row],[Genitalium]]),ISBLANK(EC_comparison[[#This Row],[Pneumoniae]]))</f>
        <v>0</v>
      </c>
      <c r="J172" t="b">
        <f>AND(NOT(ISBLANK(EC_comparison[[#This Row],[Pneumoniae]])),ISBLANK(EC_comparison[[#This Row],[Aureus]]),ISBLANK(EC_comparison[[#This Row],[Genitalium]]),ISBLANK(EC_comparison[[#This Row],[Minesweeper]]))</f>
        <v>0</v>
      </c>
    </row>
    <row r="173" spans="1:10" x14ac:dyDescent="0.25">
      <c r="A173" t="s">
        <v>4</v>
      </c>
      <c r="E173" t="b">
        <f t="shared" si="4"/>
        <v>0</v>
      </c>
      <c r="F173" t="b">
        <f t="shared" si="5"/>
        <v>0</v>
      </c>
      <c r="G173" t="b">
        <f>AND(NOT(ISBLANK(EC_comparison[[#This Row],[Aureus]])),ISBLANK(EC_comparison[[#This Row],[Genitalium]]),ISBLANK(EC_comparison[[#This Row],[Minesweeper]]),ISBLANK(EC_comparison[[#This Row],[Pneumoniae]]))</f>
        <v>1</v>
      </c>
      <c r="H173" t="b">
        <f>AND(NOT(ISBLANK(EC_comparison[[#This Row],[Genitalium]])),ISBLANK(EC_comparison[[#This Row],[Aureus]]),ISBLANK(EC_comparison[[#This Row],[Minesweeper]]),ISBLANK(EC_comparison[[#This Row],[Pneumoniae]]))</f>
        <v>0</v>
      </c>
      <c r="I173" t="b">
        <f>AND(NOT(ISBLANK(EC_comparison[[#This Row],[Minesweeper]])),ISBLANK(EC_comparison[[#This Row],[Aureus]]),ISBLANK(EC_comparison[[#This Row],[Genitalium]]),ISBLANK(EC_comparison[[#This Row],[Pneumoniae]]))</f>
        <v>0</v>
      </c>
      <c r="J173" t="b">
        <f>AND(NOT(ISBLANK(EC_comparison[[#This Row],[Pneumoniae]])),ISBLANK(EC_comparison[[#This Row],[Aureus]]),ISBLANK(EC_comparison[[#This Row],[Genitalium]]),ISBLANK(EC_comparison[[#This Row],[Minesweeper]]))</f>
        <v>0</v>
      </c>
    </row>
    <row r="174" spans="1:10" x14ac:dyDescent="0.25">
      <c r="A174" t="s">
        <v>53</v>
      </c>
      <c r="E174" t="b">
        <f t="shared" si="4"/>
        <v>0</v>
      </c>
      <c r="F174" t="b">
        <f t="shared" si="5"/>
        <v>0</v>
      </c>
      <c r="G174" t="b">
        <f>AND(NOT(ISBLANK(EC_comparison[[#This Row],[Aureus]])),ISBLANK(EC_comparison[[#This Row],[Genitalium]]),ISBLANK(EC_comparison[[#This Row],[Minesweeper]]),ISBLANK(EC_comparison[[#This Row],[Pneumoniae]]))</f>
        <v>1</v>
      </c>
      <c r="H174" t="b">
        <f>AND(NOT(ISBLANK(EC_comparison[[#This Row],[Genitalium]])),ISBLANK(EC_comparison[[#This Row],[Aureus]]),ISBLANK(EC_comparison[[#This Row],[Minesweeper]]),ISBLANK(EC_comparison[[#This Row],[Pneumoniae]]))</f>
        <v>0</v>
      </c>
      <c r="I174" t="b">
        <f>AND(NOT(ISBLANK(EC_comparison[[#This Row],[Minesweeper]])),ISBLANK(EC_comparison[[#This Row],[Aureus]]),ISBLANK(EC_comparison[[#This Row],[Genitalium]]),ISBLANK(EC_comparison[[#This Row],[Pneumoniae]]))</f>
        <v>0</v>
      </c>
      <c r="J174" t="b">
        <f>AND(NOT(ISBLANK(EC_comparison[[#This Row],[Pneumoniae]])),ISBLANK(EC_comparison[[#This Row],[Aureus]]),ISBLANK(EC_comparison[[#This Row],[Genitalium]]),ISBLANK(EC_comparison[[#This Row],[Minesweeper]]))</f>
        <v>0</v>
      </c>
    </row>
    <row r="175" spans="1:10" x14ac:dyDescent="0.25">
      <c r="A175" t="s">
        <v>82</v>
      </c>
      <c r="E175" t="b">
        <f t="shared" si="4"/>
        <v>0</v>
      </c>
      <c r="F175" t="b">
        <f t="shared" si="5"/>
        <v>0</v>
      </c>
      <c r="G175" t="b">
        <f>AND(NOT(ISBLANK(EC_comparison[[#This Row],[Aureus]])),ISBLANK(EC_comparison[[#This Row],[Genitalium]]),ISBLANK(EC_comparison[[#This Row],[Minesweeper]]),ISBLANK(EC_comparison[[#This Row],[Pneumoniae]]))</f>
        <v>1</v>
      </c>
      <c r="H175" t="b">
        <f>AND(NOT(ISBLANK(EC_comparison[[#This Row],[Genitalium]])),ISBLANK(EC_comparison[[#This Row],[Aureus]]),ISBLANK(EC_comparison[[#This Row],[Minesweeper]]),ISBLANK(EC_comparison[[#This Row],[Pneumoniae]]))</f>
        <v>0</v>
      </c>
      <c r="I175" t="b">
        <f>AND(NOT(ISBLANK(EC_comparison[[#This Row],[Minesweeper]])),ISBLANK(EC_comparison[[#This Row],[Aureus]]),ISBLANK(EC_comparison[[#This Row],[Genitalium]]),ISBLANK(EC_comparison[[#This Row],[Pneumoniae]]))</f>
        <v>0</v>
      </c>
      <c r="J175" t="b">
        <f>AND(NOT(ISBLANK(EC_comparison[[#This Row],[Pneumoniae]])),ISBLANK(EC_comparison[[#This Row],[Aureus]]),ISBLANK(EC_comparison[[#This Row],[Genitalium]]),ISBLANK(EC_comparison[[#This Row],[Minesweeper]]))</f>
        <v>0</v>
      </c>
    </row>
    <row r="176" spans="1:10" x14ac:dyDescent="0.25">
      <c r="A176" t="s">
        <v>107</v>
      </c>
      <c r="B176" t="s">
        <v>107</v>
      </c>
      <c r="C176" t="s">
        <v>107</v>
      </c>
      <c r="D176" t="s">
        <v>107</v>
      </c>
      <c r="E176" t="b">
        <f t="shared" si="4"/>
        <v>1</v>
      </c>
      <c r="F176" t="b">
        <f t="shared" si="5"/>
        <v>1</v>
      </c>
      <c r="G176" t="b">
        <f>AND(NOT(ISBLANK(EC_comparison[[#This Row],[Aureus]])),ISBLANK(EC_comparison[[#This Row],[Genitalium]]),ISBLANK(EC_comparison[[#This Row],[Minesweeper]]),ISBLANK(EC_comparison[[#This Row],[Pneumoniae]]))</f>
        <v>0</v>
      </c>
      <c r="H176" t="b">
        <f>AND(NOT(ISBLANK(EC_comparison[[#This Row],[Genitalium]])),ISBLANK(EC_comparison[[#This Row],[Aureus]]),ISBLANK(EC_comparison[[#This Row],[Minesweeper]]),ISBLANK(EC_comparison[[#This Row],[Pneumoniae]]))</f>
        <v>0</v>
      </c>
      <c r="I176" t="b">
        <f>AND(NOT(ISBLANK(EC_comparison[[#This Row],[Minesweeper]])),ISBLANK(EC_comparison[[#This Row],[Aureus]]),ISBLANK(EC_comparison[[#This Row],[Genitalium]]),ISBLANK(EC_comparison[[#This Row],[Pneumoniae]]))</f>
        <v>0</v>
      </c>
      <c r="J176" t="b">
        <f>AND(NOT(ISBLANK(EC_comparison[[#This Row],[Pneumoniae]])),ISBLANK(EC_comparison[[#This Row],[Aureus]]),ISBLANK(EC_comparison[[#This Row],[Genitalium]]),ISBLANK(EC_comparison[[#This Row],[Minesweeper]]))</f>
        <v>0</v>
      </c>
    </row>
    <row r="177" spans="1:10" x14ac:dyDescent="0.25">
      <c r="A177" t="s">
        <v>64</v>
      </c>
      <c r="B177" t="s">
        <v>160</v>
      </c>
      <c r="C177" t="s">
        <v>160</v>
      </c>
      <c r="D177" t="s">
        <v>160</v>
      </c>
      <c r="E177" t="b">
        <f t="shared" si="4"/>
        <v>1</v>
      </c>
      <c r="F177" t="b">
        <f t="shared" si="5"/>
        <v>1</v>
      </c>
      <c r="G177" t="b">
        <f>AND(NOT(ISBLANK(EC_comparison[[#This Row],[Aureus]])),ISBLANK(EC_comparison[[#This Row],[Genitalium]]),ISBLANK(EC_comparison[[#This Row],[Minesweeper]]),ISBLANK(EC_comparison[[#This Row],[Pneumoniae]]))</f>
        <v>0</v>
      </c>
      <c r="H177" t="b">
        <f>AND(NOT(ISBLANK(EC_comparison[[#This Row],[Genitalium]])),ISBLANK(EC_comparison[[#This Row],[Aureus]]),ISBLANK(EC_comparison[[#This Row],[Minesweeper]]),ISBLANK(EC_comparison[[#This Row],[Pneumoniae]]))</f>
        <v>0</v>
      </c>
      <c r="I177" t="b">
        <f>AND(NOT(ISBLANK(EC_comparison[[#This Row],[Minesweeper]])),ISBLANK(EC_comparison[[#This Row],[Aureus]]),ISBLANK(EC_comparison[[#This Row],[Genitalium]]),ISBLANK(EC_comparison[[#This Row],[Pneumoniae]]))</f>
        <v>0</v>
      </c>
      <c r="J177" t="b">
        <f>AND(NOT(ISBLANK(EC_comparison[[#This Row],[Pneumoniae]])),ISBLANK(EC_comparison[[#This Row],[Aureus]]),ISBLANK(EC_comparison[[#This Row],[Genitalium]]),ISBLANK(EC_comparison[[#This Row],[Minesweeper]]))</f>
        <v>0</v>
      </c>
    </row>
    <row r="178" spans="1:10" x14ac:dyDescent="0.25">
      <c r="C178" t="s">
        <v>172</v>
      </c>
      <c r="D178" t="s">
        <v>172</v>
      </c>
      <c r="E178" t="b">
        <f t="shared" si="4"/>
        <v>0</v>
      </c>
      <c r="F178" t="b">
        <f t="shared" si="5"/>
        <v>0</v>
      </c>
      <c r="G178" t="b">
        <f>AND(NOT(ISBLANK(EC_comparison[[#This Row],[Aureus]])),ISBLANK(EC_comparison[[#This Row],[Genitalium]]),ISBLANK(EC_comparison[[#This Row],[Minesweeper]]),ISBLANK(EC_comparison[[#This Row],[Pneumoniae]]))</f>
        <v>0</v>
      </c>
      <c r="H178" t="b">
        <f>AND(NOT(ISBLANK(EC_comparison[[#This Row],[Genitalium]])),ISBLANK(EC_comparison[[#This Row],[Aureus]]),ISBLANK(EC_comparison[[#This Row],[Minesweeper]]),ISBLANK(EC_comparison[[#This Row],[Pneumoniae]]))</f>
        <v>0</v>
      </c>
      <c r="I178" t="b">
        <f>AND(NOT(ISBLANK(EC_comparison[[#This Row],[Minesweeper]])),ISBLANK(EC_comparison[[#This Row],[Aureus]]),ISBLANK(EC_comparison[[#This Row],[Genitalium]]),ISBLANK(EC_comparison[[#This Row],[Pneumoniae]]))</f>
        <v>0</v>
      </c>
      <c r="J178" t="b">
        <f>AND(NOT(ISBLANK(EC_comparison[[#This Row],[Pneumoniae]])),ISBLANK(EC_comparison[[#This Row],[Aureus]]),ISBLANK(EC_comparison[[#This Row],[Genitalium]]),ISBLANK(EC_comparison[[#This Row],[Minesweeper]]))</f>
        <v>0</v>
      </c>
    </row>
  </sheetData>
  <sortState xmlns:xlrd2="http://schemas.microsoft.com/office/spreadsheetml/2017/richdata2" ref="D2:D81">
    <sortCondition ref="D2:D81"/>
  </sortState>
  <conditionalFormatting sqref="E2:J178">
    <cfRule type="cellIs" dxfId="0" priority="6" operator="equal">
      <formula>TRUE</formula>
    </cfRule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6E693-3F26-4574-912C-89A45EE76B57}">
  <dimension ref="A1:AI206"/>
  <sheetViews>
    <sheetView workbookViewId="0">
      <selection activeCell="C21" sqref="C21"/>
    </sheetView>
  </sheetViews>
  <sheetFormatPr defaultRowHeight="15" x14ac:dyDescent="0.25"/>
  <cols>
    <col min="1" max="1" width="14.42578125" bestFit="1" customWidth="1"/>
    <col min="2" max="2" width="34.85546875" bestFit="1" customWidth="1"/>
    <col min="3" max="3" width="6.85546875" customWidth="1"/>
    <col min="4" max="5" width="34.85546875" customWidth="1"/>
    <col min="7" max="7" width="14.42578125" bestFit="1" customWidth="1"/>
    <col min="8" max="8" width="34.85546875" bestFit="1" customWidth="1"/>
    <col min="9" max="9" width="10.42578125" customWidth="1"/>
    <col min="10" max="10" width="16.140625" bestFit="1" customWidth="1"/>
    <col min="11" max="11" width="34.85546875" bestFit="1" customWidth="1"/>
    <col min="12" max="12" width="10.42578125" customWidth="1"/>
    <col min="13" max="13" width="16.140625" bestFit="1" customWidth="1"/>
    <col min="14" max="14" width="34.85546875" customWidth="1"/>
    <col min="16" max="16" width="13.85546875" bestFit="1" customWidth="1"/>
    <col min="17" max="17" width="34.85546875" bestFit="1" customWidth="1"/>
    <col min="20" max="20" width="40.140625" bestFit="1" customWidth="1"/>
    <col min="23" max="23" width="34.85546875" bestFit="1" customWidth="1"/>
    <col min="25" max="25" width="9.5703125" bestFit="1" customWidth="1"/>
    <col min="26" max="26" width="7.85546875" bestFit="1" customWidth="1"/>
    <col min="28" max="28" width="9" bestFit="1" customWidth="1"/>
    <col min="29" max="29" width="24.42578125" bestFit="1" customWidth="1"/>
    <col min="31" max="31" width="8.7109375" bestFit="1" customWidth="1"/>
    <col min="32" max="32" width="34.85546875" bestFit="1" customWidth="1"/>
    <col min="35" max="35" width="34.85546875" bestFit="1" customWidth="1"/>
  </cols>
  <sheetData>
    <row r="1" spans="1:35" x14ac:dyDescent="0.25">
      <c r="A1" s="4" t="s">
        <v>236</v>
      </c>
      <c r="B1" s="11" t="s">
        <v>228</v>
      </c>
      <c r="D1" s="4" t="s">
        <v>1062</v>
      </c>
      <c r="E1" s="11" t="s">
        <v>228</v>
      </c>
      <c r="G1" s="4" t="s">
        <v>180</v>
      </c>
      <c r="H1" s="11" t="s">
        <v>228</v>
      </c>
      <c r="I1" s="12"/>
      <c r="J1" s="5" t="s">
        <v>181</v>
      </c>
      <c r="K1" s="11" t="s">
        <v>228</v>
      </c>
      <c r="L1" s="12"/>
      <c r="M1" s="5" t="s">
        <v>1055</v>
      </c>
      <c r="N1" s="11" t="s">
        <v>228</v>
      </c>
      <c r="P1" s="5" t="s">
        <v>1054</v>
      </c>
      <c r="Q1" s="11" t="s">
        <v>228</v>
      </c>
      <c r="S1" s="3" t="s">
        <v>182</v>
      </c>
      <c r="T1" s="11" t="s">
        <v>228</v>
      </c>
      <c r="V1" s="3" t="s">
        <v>183</v>
      </c>
      <c r="W1" s="11" t="s">
        <v>228</v>
      </c>
      <c r="Y1" s="3" t="s">
        <v>184</v>
      </c>
      <c r="Z1" s="11" t="s">
        <v>228</v>
      </c>
      <c r="AB1" s="3" t="s">
        <v>185</v>
      </c>
      <c r="AC1" s="11" t="s">
        <v>228</v>
      </c>
      <c r="AE1" s="3" t="s">
        <v>1052</v>
      </c>
      <c r="AF1" s="11" t="s">
        <v>228</v>
      </c>
      <c r="AH1" s="3" t="s">
        <v>227</v>
      </c>
      <c r="AI1" s="3" t="s">
        <v>228</v>
      </c>
    </row>
    <row r="2" spans="1:35" x14ac:dyDescent="0.25">
      <c r="A2" t="s">
        <v>105</v>
      </c>
      <c r="B2" t="str">
        <f>VLOOKUP(A2,Dict[],2)</f>
        <v>Amino acid metabolism</v>
      </c>
      <c r="D2" t="s">
        <v>105</v>
      </c>
      <c r="E2" t="str">
        <f>VLOOKUP(D2,Dict[],2)</f>
        <v>Amino acid metabolism</v>
      </c>
      <c r="G2" t="s">
        <v>27</v>
      </c>
      <c r="H2" t="str">
        <f>VLOOKUP(G2,Dict[],2)</f>
        <v>None</v>
      </c>
      <c r="J2" t="s">
        <v>105</v>
      </c>
      <c r="K2" t="str">
        <f>VLOOKUP(J2,Dict[],2)</f>
        <v>Amino acid metabolism</v>
      </c>
      <c r="M2" t="s">
        <v>85</v>
      </c>
      <c r="N2" t="str">
        <f>VLOOKUP(M2,Dict[],2)</f>
        <v>Amino acid metabolism</v>
      </c>
      <c r="P2" t="s">
        <v>105</v>
      </c>
      <c r="Q2" t="str">
        <f>VLOOKUP(P2,Dict[],2)</f>
        <v>Amino acid metabolism</v>
      </c>
      <c r="S2" t="s">
        <v>87</v>
      </c>
      <c r="T2" t="str">
        <f>VLOOKUP(S2,Dict[],2)</f>
        <v>Amino acid metabolism</v>
      </c>
      <c r="V2" t="s">
        <v>147</v>
      </c>
      <c r="W2" t="str">
        <f>VLOOKUP(V2,Dict[],2)</f>
        <v>Carbohydrate metabolism</v>
      </c>
      <c r="Y2" t="s">
        <v>171</v>
      </c>
      <c r="Z2" t="str">
        <f>VLOOKUP(Y2,Dict[],2)</f>
        <v>None</v>
      </c>
      <c r="AB2" t="s">
        <v>175</v>
      </c>
      <c r="AC2" t="str">
        <f>VLOOKUP(AB2,Dict[],2)</f>
        <v>Carbohydrate metabolism</v>
      </c>
      <c r="AE2" t="s">
        <v>211</v>
      </c>
      <c r="AF2" t="str">
        <f>VLOOKUP(AE2,Dict[],2)</f>
        <v>Energy metabolism</v>
      </c>
      <c r="AH2" s="7" t="s">
        <v>60</v>
      </c>
      <c r="AI2" s="7" t="s">
        <v>223</v>
      </c>
    </row>
    <row r="3" spans="1:35" x14ac:dyDescent="0.25">
      <c r="A3" t="s">
        <v>29</v>
      </c>
      <c r="B3" t="str">
        <f>VLOOKUP(A3,Dict[],2)</f>
        <v>Carbohydrate metabolism</v>
      </c>
      <c r="D3" t="s">
        <v>63</v>
      </c>
      <c r="E3" t="str">
        <f>VLOOKUP(D3,Dict[],2)</f>
        <v>Energy metabolism</v>
      </c>
      <c r="G3" t="s">
        <v>105</v>
      </c>
      <c r="H3" t="str">
        <f>VLOOKUP(G3,Dict[],2)</f>
        <v>Amino acid metabolism</v>
      </c>
      <c r="J3" t="s">
        <v>102</v>
      </c>
      <c r="K3" t="str">
        <f>VLOOKUP(J3,Dict[],2)</f>
        <v>Amino acid metabolism</v>
      </c>
      <c r="M3" t="s">
        <v>90</v>
      </c>
      <c r="N3" t="str">
        <f>VLOOKUP(M3,Dict[],2)</f>
        <v>Amino acid metabolism</v>
      </c>
      <c r="P3" t="s">
        <v>102</v>
      </c>
      <c r="Q3" t="str">
        <f>VLOOKUP(P3,Dict[],2)</f>
        <v>Amino acid metabolism</v>
      </c>
      <c r="S3" t="s">
        <v>74</v>
      </c>
      <c r="T3" t="str">
        <f>VLOOKUP(S3,Dict[],2)</f>
        <v>Amino acid metabolism</v>
      </c>
      <c r="V3" t="s">
        <v>148</v>
      </c>
      <c r="W3" t="str">
        <f>VLOOKUP(V3,Dict[],2)</f>
        <v>Amino acid metabolism</v>
      </c>
      <c r="Y3" t="s">
        <v>170</v>
      </c>
      <c r="Z3" t="str">
        <f>VLOOKUP(Y3,Dict[],2)</f>
        <v>None</v>
      </c>
      <c r="AB3" t="s">
        <v>174</v>
      </c>
      <c r="AC3" t="str">
        <f>VLOOKUP(AB3,Dict[],2)</f>
        <v>None</v>
      </c>
      <c r="AE3" t="s">
        <v>201</v>
      </c>
      <c r="AF3" t="str">
        <f>VLOOKUP(AE3,Dict[],2)</f>
        <v>Carbohydrate metabolism</v>
      </c>
      <c r="AH3" s="7" t="s">
        <v>3</v>
      </c>
      <c r="AI3" s="7" t="s">
        <v>225</v>
      </c>
    </row>
    <row r="4" spans="1:35" x14ac:dyDescent="0.25">
      <c r="A4" t="s">
        <v>99</v>
      </c>
      <c r="B4" t="str">
        <f>VLOOKUP(A4,Dict[],2)</f>
        <v>Carbohydrate metabolism</v>
      </c>
      <c r="D4" t="s">
        <v>33</v>
      </c>
      <c r="E4" t="str">
        <f>VLOOKUP(D4,Dict[],2)</f>
        <v>Carbohydrate metabolism</v>
      </c>
      <c r="G4" t="s">
        <v>102</v>
      </c>
      <c r="H4" t="str">
        <f>VLOOKUP(G4,Dict[],2)</f>
        <v>Amino acid metabolism</v>
      </c>
      <c r="J4" t="s">
        <v>6</v>
      </c>
      <c r="K4" t="str">
        <f>VLOOKUP(J4,Dict[],2)</f>
        <v>Amino acid metabolism</v>
      </c>
      <c r="M4" t="s">
        <v>88</v>
      </c>
      <c r="N4" t="str">
        <f>VLOOKUP(M4,Dict[],2)</f>
        <v>Amino acid metabolism</v>
      </c>
      <c r="P4" t="s">
        <v>6</v>
      </c>
      <c r="Q4" t="str">
        <f>VLOOKUP(P4,Dict[],2)</f>
        <v>Amino acid metabolism</v>
      </c>
      <c r="S4" t="s">
        <v>83</v>
      </c>
      <c r="T4" t="str">
        <f>VLOOKUP(S4,Dict[],2)</f>
        <v>Amino acid metabolism</v>
      </c>
      <c r="V4" t="s">
        <v>146</v>
      </c>
      <c r="W4" t="str">
        <f>VLOOKUP(V4,Dict[],2)</f>
        <v>Metabolism of cofactors and vitamins</v>
      </c>
      <c r="Y4" t="s">
        <v>169</v>
      </c>
      <c r="Z4" t="str">
        <f>VLOOKUP(Y4,Dict[],2)</f>
        <v>None</v>
      </c>
      <c r="AB4" t="s">
        <v>9</v>
      </c>
      <c r="AC4" t="str">
        <f>VLOOKUP(AB4,Dict[],2)</f>
        <v>None</v>
      </c>
      <c r="AE4" t="s">
        <v>203</v>
      </c>
      <c r="AF4" t="str">
        <f>VLOOKUP(AE4,Dict[],2)</f>
        <v>Energy metabolism</v>
      </c>
      <c r="AH4" s="7" t="s">
        <v>87</v>
      </c>
      <c r="AI4" s="7" t="s">
        <v>219</v>
      </c>
    </row>
    <row r="5" spans="1:35" x14ac:dyDescent="0.25">
      <c r="A5" t="s">
        <v>122</v>
      </c>
      <c r="B5" t="str">
        <f>VLOOKUP(A5,Dict[],2)</f>
        <v>Carbohydrate metabolism</v>
      </c>
      <c r="D5" t="s">
        <v>10</v>
      </c>
      <c r="E5" t="str">
        <f>VLOOKUP(D5,Dict[],2)</f>
        <v>Nucleotide metabolism</v>
      </c>
      <c r="G5" t="s">
        <v>6</v>
      </c>
      <c r="H5" t="str">
        <f>VLOOKUP(G5,Dict[],2)</f>
        <v>Amino acid metabolism</v>
      </c>
      <c r="J5" t="s">
        <v>1</v>
      </c>
      <c r="K5" t="str">
        <f>VLOOKUP(J5,Dict[],2)</f>
        <v>Amino acid metabolism</v>
      </c>
      <c r="M5" t="s">
        <v>50</v>
      </c>
      <c r="N5" t="str">
        <f>VLOOKUP(M5,Dict[],2)</f>
        <v>Amino acid metabolism</v>
      </c>
      <c r="P5" t="s">
        <v>1</v>
      </c>
      <c r="Q5" t="str">
        <f>VLOOKUP(P5,Dict[],2)</f>
        <v>Amino acid metabolism</v>
      </c>
      <c r="S5" t="s">
        <v>119</v>
      </c>
      <c r="T5" t="str">
        <f>VLOOKUP(S5,Dict[],2)</f>
        <v>Amino acid metabolism</v>
      </c>
      <c r="V5" t="s">
        <v>108</v>
      </c>
      <c r="W5" t="str">
        <f>VLOOKUP(V5,Dict[],2)</f>
        <v>Metabolism of cofactors and vitamins</v>
      </c>
      <c r="Y5" t="s">
        <v>168</v>
      </c>
      <c r="Z5" t="str">
        <f>VLOOKUP(Y5,Dict[],2)</f>
        <v>None</v>
      </c>
      <c r="AE5" t="s">
        <v>216</v>
      </c>
      <c r="AF5" t="str">
        <f>VLOOKUP(AE5,Dict[],2)</f>
        <v>Carbohydrate metabolism</v>
      </c>
      <c r="AH5" s="6" t="s">
        <v>175</v>
      </c>
      <c r="AI5" s="7" t="s">
        <v>221</v>
      </c>
    </row>
    <row r="6" spans="1:35" x14ac:dyDescent="0.25">
      <c r="A6" t="s">
        <v>114</v>
      </c>
      <c r="B6" t="str">
        <f>VLOOKUP(A6,Dict[],2)</f>
        <v>Energy metabolism</v>
      </c>
      <c r="D6" t="s">
        <v>108</v>
      </c>
      <c r="E6" t="str">
        <f>VLOOKUP(D6,Dict[],2)</f>
        <v>Metabolism of cofactors and vitamins</v>
      </c>
      <c r="G6" t="s">
        <v>1</v>
      </c>
      <c r="H6" t="str">
        <f>VLOOKUP(G6,Dict[],2)</f>
        <v>Amino acid metabolism</v>
      </c>
      <c r="J6" t="s">
        <v>89</v>
      </c>
      <c r="K6" t="str">
        <f>VLOOKUP(J6,Dict[],2)</f>
        <v>Amino acid metabolism</v>
      </c>
      <c r="M6" t="s">
        <v>97</v>
      </c>
      <c r="N6" t="str">
        <f>VLOOKUP(M6,Dict[],2)</f>
        <v>Amino acid metabolism</v>
      </c>
      <c r="P6" t="s">
        <v>89</v>
      </c>
      <c r="Q6" t="str">
        <f>VLOOKUP(P6,Dict[],2)</f>
        <v>Amino acid metabolism</v>
      </c>
      <c r="S6" t="s">
        <v>31</v>
      </c>
      <c r="T6" t="str">
        <f>VLOOKUP(S6,Dict[],2)</f>
        <v>Amino acid metabolism</v>
      </c>
      <c r="AE6" t="s">
        <v>186</v>
      </c>
      <c r="AF6" t="str">
        <f>VLOOKUP(AE6,Dict[],2)</f>
        <v>Lipid metabolism</v>
      </c>
      <c r="AH6" s="7" t="s">
        <v>80</v>
      </c>
      <c r="AI6" s="7" t="s">
        <v>221</v>
      </c>
    </row>
    <row r="7" spans="1:35" x14ac:dyDescent="0.25">
      <c r="A7" t="s">
        <v>63</v>
      </c>
      <c r="B7" t="str">
        <f>VLOOKUP(A7,Dict[],2)</f>
        <v>Energy metabolism</v>
      </c>
      <c r="D7" t="s">
        <v>100</v>
      </c>
      <c r="E7" t="str">
        <f>VLOOKUP(D7,Dict[],2)</f>
        <v>Carbohydrate metabolism</v>
      </c>
      <c r="G7" t="s">
        <v>89</v>
      </c>
      <c r="H7" t="str">
        <f>VLOOKUP(G7,Dict[],2)</f>
        <v>Amino acid metabolism</v>
      </c>
      <c r="J7" t="s">
        <v>85</v>
      </c>
      <c r="K7" t="str">
        <f>VLOOKUP(J7,Dict[],2)</f>
        <v>Amino acid metabolism</v>
      </c>
      <c r="M7" t="s">
        <v>45</v>
      </c>
      <c r="N7" t="str">
        <f>VLOOKUP(M7,Dict[],2)</f>
        <v>Amino acid metabolism</v>
      </c>
      <c r="P7" t="s">
        <v>85</v>
      </c>
      <c r="Q7" t="str">
        <f>VLOOKUP(P7,Dict[],2)</f>
        <v>Amino acid metabolism</v>
      </c>
      <c r="S7" t="s">
        <v>75</v>
      </c>
      <c r="T7" t="str">
        <f>VLOOKUP(S7,Dict[],2)</f>
        <v>Amino acid metabolism</v>
      </c>
      <c r="AE7" t="s">
        <v>206</v>
      </c>
      <c r="AF7" t="str">
        <f>VLOOKUP(AE7,Dict[],2)</f>
        <v>Metabolism of cofactors and vitamins</v>
      </c>
      <c r="AH7" s="7" t="s">
        <v>79</v>
      </c>
      <c r="AI7" s="7" t="s">
        <v>221</v>
      </c>
    </row>
    <row r="8" spans="1:35" x14ac:dyDescent="0.25">
      <c r="A8" t="s">
        <v>30</v>
      </c>
      <c r="B8" t="str">
        <f>VLOOKUP(A8,Dict[],2)</f>
        <v>Energy metabolism</v>
      </c>
      <c r="D8" t="s">
        <v>42</v>
      </c>
      <c r="E8" t="str">
        <f>VLOOKUP(D8,Dict[],2)</f>
        <v>Carbohydrate metabolism</v>
      </c>
      <c r="G8" t="s">
        <v>85</v>
      </c>
      <c r="H8" t="str">
        <f>VLOOKUP(G8,Dict[],2)</f>
        <v>Amino acid metabolism</v>
      </c>
      <c r="J8" t="s">
        <v>66</v>
      </c>
      <c r="K8" t="str">
        <f>VLOOKUP(J8,Dict[],2)</f>
        <v>Amino acid metabolism</v>
      </c>
      <c r="M8" t="s">
        <v>6</v>
      </c>
      <c r="N8" t="str">
        <f>VLOOKUP(M8,Dict[],2)</f>
        <v>Amino acid metabolism</v>
      </c>
      <c r="P8" t="s">
        <v>66</v>
      </c>
      <c r="Q8" t="str">
        <f>VLOOKUP(P8,Dict[],2)</f>
        <v>Amino acid metabolism</v>
      </c>
      <c r="S8" t="s">
        <v>76</v>
      </c>
      <c r="T8" t="str">
        <f>VLOOKUP(S8,Dict[],2)</f>
        <v>Amino acid metabolism</v>
      </c>
      <c r="AE8" t="s">
        <v>197</v>
      </c>
      <c r="AF8" t="str">
        <f>VLOOKUP(AE8,Dict[],2)</f>
        <v>Nucleotide metabolism</v>
      </c>
      <c r="AH8" s="7" t="s">
        <v>124</v>
      </c>
      <c r="AI8" s="7" t="s">
        <v>229</v>
      </c>
    </row>
    <row r="9" spans="1:35" x14ac:dyDescent="0.25">
      <c r="A9" t="s">
        <v>57</v>
      </c>
      <c r="B9" t="str">
        <f>VLOOKUP(A9,Dict[],2)</f>
        <v>Metabolism of cofactors and vitamins</v>
      </c>
      <c r="D9" t="s">
        <v>114</v>
      </c>
      <c r="E9" t="str">
        <f>VLOOKUP(D9,Dict[],2)</f>
        <v>Energy metabolism</v>
      </c>
      <c r="G9" t="s">
        <v>66</v>
      </c>
      <c r="H9" t="str">
        <f>VLOOKUP(G9,Dict[],2)</f>
        <v>Amino acid metabolism</v>
      </c>
      <c r="J9" t="s">
        <v>16</v>
      </c>
      <c r="K9" t="str">
        <f>VLOOKUP(J9,Dict[],2)</f>
        <v>Amino acid metabolism</v>
      </c>
      <c r="M9" t="s">
        <v>89</v>
      </c>
      <c r="N9" t="str">
        <f>VLOOKUP(M9,Dict[],2)</f>
        <v>Amino acid metabolism</v>
      </c>
      <c r="P9" t="s">
        <v>16</v>
      </c>
      <c r="Q9" t="str">
        <f>VLOOKUP(P9,Dict[],2)</f>
        <v>Amino acid metabolism</v>
      </c>
      <c r="S9" t="s">
        <v>46</v>
      </c>
      <c r="T9" t="str">
        <f>VLOOKUP(S9,Dict[],2)</f>
        <v>Amino acid metabolism</v>
      </c>
      <c r="AE9" t="s">
        <v>218</v>
      </c>
      <c r="AF9" t="str">
        <f>VLOOKUP(AE9,Dict[],2)</f>
        <v>Carbohydrate metabolism</v>
      </c>
      <c r="AH9" s="6" t="s">
        <v>77</v>
      </c>
      <c r="AI9" s="7" t="s">
        <v>223</v>
      </c>
    </row>
    <row r="10" spans="1:35" x14ac:dyDescent="0.25">
      <c r="A10" t="s">
        <v>108</v>
      </c>
      <c r="B10" t="str">
        <f>VLOOKUP(A10,Dict[],2)</f>
        <v>Metabolism of cofactors and vitamins</v>
      </c>
      <c r="D10" t="s">
        <v>30</v>
      </c>
      <c r="E10" t="str">
        <f>VLOOKUP(D10,Dict[],2)</f>
        <v>Energy metabolism</v>
      </c>
      <c r="G10" t="s">
        <v>16</v>
      </c>
      <c r="H10" t="str">
        <f>VLOOKUP(G10,Dict[],2)</f>
        <v>Amino acid metabolism</v>
      </c>
      <c r="J10" t="s">
        <v>22</v>
      </c>
      <c r="K10" t="str">
        <f>VLOOKUP(J10,Dict[],2)</f>
        <v>Amino acid metabolism</v>
      </c>
      <c r="M10" t="s">
        <v>14</v>
      </c>
      <c r="N10" t="str">
        <f>VLOOKUP(M10,Dict[],2)</f>
        <v>Amino acid metabolism</v>
      </c>
      <c r="P10" t="s">
        <v>22</v>
      </c>
      <c r="Q10" t="str">
        <f>VLOOKUP(P10,Dict[],2)</f>
        <v>Amino acid metabolism</v>
      </c>
      <c r="S10" t="s">
        <v>32</v>
      </c>
      <c r="T10" t="str">
        <f>VLOOKUP(S10,Dict[],2)</f>
        <v>Amino acid metabolism</v>
      </c>
      <c r="AE10" t="s">
        <v>205</v>
      </c>
      <c r="AF10" t="str">
        <f>VLOOKUP(AE10,Dict[],2)</f>
        <v>Carbohydrate metabolism</v>
      </c>
      <c r="AH10" s="6" t="s">
        <v>24</v>
      </c>
      <c r="AI10" s="7" t="s">
        <v>225</v>
      </c>
    </row>
    <row r="11" spans="1:35" x14ac:dyDescent="0.25">
      <c r="A11" t="s">
        <v>27</v>
      </c>
      <c r="B11" t="str">
        <f>VLOOKUP(A11,Dict[],2)</f>
        <v>None</v>
      </c>
      <c r="D11" t="s">
        <v>57</v>
      </c>
      <c r="E11" t="str">
        <f>VLOOKUP(D11,Dict[],2)</f>
        <v>Metabolism of cofactors and vitamins</v>
      </c>
      <c r="G11" t="s">
        <v>22</v>
      </c>
      <c r="H11" t="str">
        <f>VLOOKUP(G11,Dict[],2)</f>
        <v>Amino acid metabolism</v>
      </c>
      <c r="J11" t="s">
        <v>35</v>
      </c>
      <c r="K11" t="str">
        <f>VLOOKUP(J11,Dict[],2)</f>
        <v>Amino acid metabolism</v>
      </c>
      <c r="M11" t="s">
        <v>104</v>
      </c>
      <c r="N11" t="str">
        <f>VLOOKUP(M11,Dict[],2)</f>
        <v>Amino acid metabolism</v>
      </c>
      <c r="P11" t="s">
        <v>35</v>
      </c>
      <c r="Q11" t="str">
        <f>VLOOKUP(P11,Dict[],2)</f>
        <v>Amino acid metabolism</v>
      </c>
      <c r="S11" t="s">
        <v>68</v>
      </c>
      <c r="T11" t="str">
        <f>VLOOKUP(S11,Dict[],2)</f>
        <v>Amino acid metabolism</v>
      </c>
      <c r="AE11" t="s">
        <v>189</v>
      </c>
      <c r="AF11" t="str">
        <f>VLOOKUP(AE11,Dict[],2)</f>
        <v>Nucleotide metabolism</v>
      </c>
      <c r="AH11" s="6" t="s">
        <v>211</v>
      </c>
      <c r="AI11" s="7" t="s">
        <v>222</v>
      </c>
    </row>
    <row r="12" spans="1:35" x14ac:dyDescent="0.25">
      <c r="A12" t="s">
        <v>56</v>
      </c>
      <c r="B12" t="str">
        <f>VLOOKUP(A12,Dict[],2)</f>
        <v>Nucleotide metabolism</v>
      </c>
      <c r="D12" t="s">
        <v>99</v>
      </c>
      <c r="E12" t="str">
        <f>VLOOKUP(D12,Dict[],2)</f>
        <v>Carbohydrate metabolism</v>
      </c>
      <c r="G12" t="s">
        <v>35</v>
      </c>
      <c r="H12" t="str">
        <f>VLOOKUP(G12,Dict[],2)</f>
        <v>Amino acid metabolism</v>
      </c>
      <c r="J12" t="s">
        <v>45</v>
      </c>
      <c r="K12" t="str">
        <f>VLOOKUP(J12,Dict[],2)</f>
        <v>Amino acid metabolism</v>
      </c>
      <c r="M12" t="s">
        <v>105</v>
      </c>
      <c r="N12" t="str">
        <f>VLOOKUP(M12,Dict[],2)</f>
        <v>Amino acid metabolism</v>
      </c>
      <c r="P12" t="s">
        <v>45</v>
      </c>
      <c r="Q12" t="str">
        <f>VLOOKUP(P12,Dict[],2)</f>
        <v>Amino acid metabolism</v>
      </c>
      <c r="S12" t="s">
        <v>38</v>
      </c>
      <c r="T12" t="str">
        <f>VLOOKUP(S12,Dict[],2)</f>
        <v>Amino acid metabolism</v>
      </c>
      <c r="AE12" t="s">
        <v>196</v>
      </c>
      <c r="AF12" t="str">
        <f>VLOOKUP(AE12,Dict[],2)</f>
        <v>Nucleotide metabolism</v>
      </c>
      <c r="AH12" s="6" t="s">
        <v>201</v>
      </c>
      <c r="AI12" s="7" t="s">
        <v>221</v>
      </c>
    </row>
    <row r="13" spans="1:35" x14ac:dyDescent="0.25">
      <c r="A13" t="s">
        <v>5</v>
      </c>
      <c r="B13" t="str">
        <f>VLOOKUP(A13,Dict[],2)</f>
        <v>Nucleotide metabolism</v>
      </c>
      <c r="D13" t="s">
        <v>56</v>
      </c>
      <c r="E13" t="str">
        <f>VLOOKUP(D13,Dict[],2)</f>
        <v>Nucleotide metabolism</v>
      </c>
      <c r="G13" t="s">
        <v>45</v>
      </c>
      <c r="H13" t="str">
        <f>VLOOKUP(G13,Dict[],2)</f>
        <v>Amino acid metabolism</v>
      </c>
      <c r="J13" t="s">
        <v>90</v>
      </c>
      <c r="K13" t="str">
        <f>VLOOKUP(J13,Dict[],2)</f>
        <v>Amino acid metabolism</v>
      </c>
      <c r="M13" t="s">
        <v>35</v>
      </c>
      <c r="N13" t="str">
        <f>VLOOKUP(M13,Dict[],2)</f>
        <v>Amino acid metabolism</v>
      </c>
      <c r="P13" t="s">
        <v>90</v>
      </c>
      <c r="Q13" t="str">
        <f>VLOOKUP(P13,Dict[],2)</f>
        <v>Amino acid metabolism</v>
      </c>
      <c r="S13" t="s">
        <v>112</v>
      </c>
      <c r="T13" t="str">
        <f>VLOOKUP(S13,Dict[],2)</f>
        <v>Amino acid metabolism</v>
      </c>
      <c r="AE13" t="s">
        <v>191</v>
      </c>
      <c r="AF13" t="str">
        <f>VLOOKUP(AE13,Dict[],2)</f>
        <v>Nucleotide metabolism</v>
      </c>
      <c r="AH13" s="6" t="s">
        <v>42</v>
      </c>
      <c r="AI13" s="7" t="s">
        <v>221</v>
      </c>
    </row>
    <row r="14" spans="1:35" x14ac:dyDescent="0.25">
      <c r="A14" t="s">
        <v>10</v>
      </c>
      <c r="B14" t="str">
        <f>VLOOKUP(A14,Dict[],2)</f>
        <v>Nucleotide metabolism</v>
      </c>
      <c r="D14" t="s">
        <v>27</v>
      </c>
      <c r="E14" t="str">
        <f>VLOOKUP(D14,Dict[],2)</f>
        <v>None</v>
      </c>
      <c r="G14" t="s">
        <v>90</v>
      </c>
      <c r="H14" t="str">
        <f>VLOOKUP(G14,Dict[],2)</f>
        <v>Amino acid metabolism</v>
      </c>
      <c r="J14" t="s">
        <v>136</v>
      </c>
      <c r="K14" t="str">
        <f>VLOOKUP(J14,Dict[],2)</f>
        <v>Amino acid metabolism</v>
      </c>
      <c r="M14" t="s">
        <v>1</v>
      </c>
      <c r="N14" t="str">
        <f>VLOOKUP(M14,Dict[],2)</f>
        <v>Amino acid metabolism</v>
      </c>
      <c r="P14" t="s">
        <v>136</v>
      </c>
      <c r="Q14" t="str">
        <f>VLOOKUP(P14,Dict[],2)</f>
        <v>Amino acid metabolism</v>
      </c>
      <c r="S14" t="s">
        <v>49</v>
      </c>
      <c r="T14" t="str">
        <f>VLOOKUP(S14,Dict[],2)</f>
        <v>Amino acid metabolism</v>
      </c>
      <c r="AE14" t="s">
        <v>217</v>
      </c>
      <c r="AF14" t="str">
        <f>VLOOKUP(AE14,Dict[],2)</f>
        <v>Nucleotide metabolism</v>
      </c>
      <c r="AH14" s="7" t="s">
        <v>166</v>
      </c>
      <c r="AI14" s="7" t="s">
        <v>221</v>
      </c>
    </row>
    <row r="15" spans="1:35" x14ac:dyDescent="0.25">
      <c r="D15" t="s">
        <v>122</v>
      </c>
      <c r="E15" t="str">
        <f>VLOOKUP(D15,Dict[],2)</f>
        <v>Carbohydrate metabolism</v>
      </c>
      <c r="G15" t="s">
        <v>97</v>
      </c>
      <c r="H15" t="str">
        <f>VLOOKUP(G15,Dict[],2)</f>
        <v>Amino acid metabolism</v>
      </c>
      <c r="J15" t="s">
        <v>97</v>
      </c>
      <c r="K15" t="str">
        <f>VLOOKUP(J15,Dict[],2)</f>
        <v>Amino acid metabolism</v>
      </c>
      <c r="M15" t="s">
        <v>66</v>
      </c>
      <c r="N15" t="str">
        <f>VLOOKUP(M15,Dict[],2)</f>
        <v>Amino acid metabolism</v>
      </c>
      <c r="P15" t="s">
        <v>97</v>
      </c>
      <c r="Q15" t="str">
        <f>VLOOKUP(P15,Dict[],2)</f>
        <v>Amino acid metabolism</v>
      </c>
      <c r="S15" t="s">
        <v>124</v>
      </c>
      <c r="T15" t="str">
        <f>VLOOKUP(S15,Dict[],2)</f>
        <v>Biosynthesis of terpenoids and polyketides</v>
      </c>
      <c r="AE15" t="s">
        <v>207</v>
      </c>
      <c r="AF15" t="str">
        <f>VLOOKUP(AE15,Dict[],2)</f>
        <v>Lipid metabolism</v>
      </c>
      <c r="AH15" s="7" t="s">
        <v>81</v>
      </c>
      <c r="AI15" s="7" t="s">
        <v>221</v>
      </c>
    </row>
    <row r="16" spans="1:35" x14ac:dyDescent="0.25">
      <c r="D16" t="s">
        <v>8</v>
      </c>
      <c r="E16" t="str">
        <f>VLOOKUP(D16,Dict[],2)</f>
        <v>Carbohydrate metabolism</v>
      </c>
      <c r="G16" t="s">
        <v>104</v>
      </c>
      <c r="H16" t="str">
        <f>VLOOKUP(G16,Dict[],2)</f>
        <v>Amino acid metabolism</v>
      </c>
      <c r="J16" t="s">
        <v>104</v>
      </c>
      <c r="K16" t="str">
        <f>VLOOKUP(J16,Dict[],2)</f>
        <v>Amino acid metabolism</v>
      </c>
      <c r="M16" t="s">
        <v>22</v>
      </c>
      <c r="N16" t="str">
        <f>VLOOKUP(M16,Dict[],2)</f>
        <v>Amino acid metabolism</v>
      </c>
      <c r="P16" t="s">
        <v>104</v>
      </c>
      <c r="Q16" t="str">
        <f>VLOOKUP(P16,Dict[],2)</f>
        <v>Amino acid metabolism</v>
      </c>
      <c r="S16" t="s">
        <v>65</v>
      </c>
      <c r="T16" t="str">
        <f>VLOOKUP(S16,Dict[],2)</f>
        <v>Biosynthesis of terpenoids and polyketides</v>
      </c>
      <c r="AE16" t="s">
        <v>192</v>
      </c>
      <c r="AF16" t="str">
        <f>VLOOKUP(AE16,Dict[],2)</f>
        <v>Amino acid metabolism</v>
      </c>
      <c r="AH16" s="7" t="s">
        <v>37</v>
      </c>
      <c r="AI16" s="7" t="s">
        <v>223</v>
      </c>
    </row>
    <row r="17" spans="4:35" x14ac:dyDescent="0.25">
      <c r="D17" t="s">
        <v>36</v>
      </c>
      <c r="E17" t="str">
        <f>VLOOKUP(D17,Dict[],2)</f>
        <v>Metabolism of cofactors and vitamins</v>
      </c>
      <c r="G17" t="s">
        <v>50</v>
      </c>
      <c r="H17" t="str">
        <f>VLOOKUP(G17,Dict[],2)</f>
        <v>Amino acid metabolism</v>
      </c>
      <c r="J17" t="s">
        <v>50</v>
      </c>
      <c r="K17" t="str">
        <f>VLOOKUP(J17,Dict[],2)</f>
        <v>Amino acid metabolism</v>
      </c>
      <c r="M17" t="s">
        <v>16</v>
      </c>
      <c r="N17" t="str">
        <f>VLOOKUP(M17,Dict[],2)</f>
        <v>Amino acid metabolism</v>
      </c>
      <c r="P17" t="s">
        <v>50</v>
      </c>
      <c r="Q17" t="str">
        <f>VLOOKUP(P17,Dict[],2)</f>
        <v>Amino acid metabolism</v>
      </c>
      <c r="S17" t="s">
        <v>21</v>
      </c>
      <c r="T17" t="str">
        <f>VLOOKUP(S17,Dict[],2)</f>
        <v>Biosynthesis of terpenoids and polyketides</v>
      </c>
      <c r="AE17" t="s">
        <v>209</v>
      </c>
      <c r="AF17" t="str">
        <f>VLOOKUP(AE17,Dict[],2)</f>
        <v>Lipid metabolism</v>
      </c>
      <c r="AH17" s="7" t="s">
        <v>25</v>
      </c>
      <c r="AI17" s="7" t="s">
        <v>221</v>
      </c>
    </row>
    <row r="18" spans="4:35" x14ac:dyDescent="0.25">
      <c r="D18" t="s">
        <v>5</v>
      </c>
      <c r="E18" t="str">
        <f>VLOOKUP(D18,Dict[],2)</f>
        <v>Nucleotide metabolism</v>
      </c>
      <c r="G18" t="s">
        <v>14</v>
      </c>
      <c r="H18" t="str">
        <f>VLOOKUP(G18,Dict[],2)</f>
        <v>Amino acid metabolism</v>
      </c>
      <c r="J18" t="s">
        <v>14</v>
      </c>
      <c r="K18" t="str">
        <f>VLOOKUP(J18,Dict[],2)</f>
        <v>Amino acid metabolism</v>
      </c>
      <c r="M18" t="s">
        <v>93</v>
      </c>
      <c r="N18" t="str">
        <f>VLOOKUP(M18,Dict[],2)</f>
        <v>Amino acid metabolism</v>
      </c>
      <c r="P18" t="s">
        <v>14</v>
      </c>
      <c r="Q18" t="str">
        <f>VLOOKUP(P18,Dict[],2)</f>
        <v>Amino acid metabolism</v>
      </c>
      <c r="S18" t="s">
        <v>2</v>
      </c>
      <c r="T18" t="str">
        <f>VLOOKUP(S18,Dict[],2)</f>
        <v>Biosynthesis of terpenoids and polyketides</v>
      </c>
      <c r="AE18" t="s">
        <v>208</v>
      </c>
      <c r="AF18" t="str">
        <f>VLOOKUP(AE18,Dict[],2)</f>
        <v>Lipid metabolism</v>
      </c>
      <c r="AH18" s="6" t="s">
        <v>71</v>
      </c>
      <c r="AI18" s="7" t="s">
        <v>224</v>
      </c>
    </row>
    <row r="19" spans="4:35" x14ac:dyDescent="0.25">
      <c r="D19" t="s">
        <v>71</v>
      </c>
      <c r="E19" t="str">
        <f>VLOOKUP(D19,Dict[],2)</f>
        <v>Metabolism of cofactors and vitamins</v>
      </c>
      <c r="G19" t="s">
        <v>88</v>
      </c>
      <c r="H19" t="str">
        <f>VLOOKUP(G19,Dict[],2)</f>
        <v>Amino acid metabolism</v>
      </c>
      <c r="J19" t="s">
        <v>88</v>
      </c>
      <c r="K19" t="str">
        <f>VLOOKUP(J19,Dict[],2)</f>
        <v>Amino acid metabolism</v>
      </c>
      <c r="M19" t="s">
        <v>102</v>
      </c>
      <c r="N19" t="str">
        <f>VLOOKUP(M19,Dict[],2)</f>
        <v>Amino acid metabolism</v>
      </c>
      <c r="P19" t="s">
        <v>88</v>
      </c>
      <c r="Q19" t="str">
        <f>VLOOKUP(P19,Dict[],2)</f>
        <v>Amino acid metabolism</v>
      </c>
      <c r="S19" t="s">
        <v>20</v>
      </c>
      <c r="T19" t="str">
        <f>VLOOKUP(S19,Dict[],2)</f>
        <v>Biosynthesis of terpenoids and polyketides</v>
      </c>
      <c r="AE19" t="s">
        <v>187</v>
      </c>
      <c r="AF19" t="str">
        <f>VLOOKUP(AE19,Dict[],2)</f>
        <v>Nucleotide metabolism</v>
      </c>
      <c r="AH19" s="6" t="s">
        <v>203</v>
      </c>
      <c r="AI19" s="7" t="s">
        <v>222</v>
      </c>
    </row>
    <row r="20" spans="4:35" x14ac:dyDescent="0.25">
      <c r="D20" t="s">
        <v>29</v>
      </c>
      <c r="E20" t="str">
        <f>VLOOKUP(D20,Dict[],2)</f>
        <v>Carbohydrate metabolism</v>
      </c>
      <c r="G20" t="s">
        <v>93</v>
      </c>
      <c r="H20" t="str">
        <f>VLOOKUP(G20,Dict[],2)</f>
        <v>Amino acid metabolism</v>
      </c>
      <c r="J20" t="s">
        <v>93</v>
      </c>
      <c r="K20" t="str">
        <f>VLOOKUP(J20,Dict[],2)</f>
        <v>Amino acid metabolism</v>
      </c>
      <c r="M20" t="s">
        <v>42</v>
      </c>
      <c r="N20" t="str">
        <f>VLOOKUP(M20,Dict[],2)</f>
        <v>Carbohydrate metabolism</v>
      </c>
      <c r="P20" t="s">
        <v>93</v>
      </c>
      <c r="Q20" t="str">
        <f>VLOOKUP(P20,Dict[],2)</f>
        <v>Amino acid metabolism</v>
      </c>
      <c r="S20" t="s">
        <v>123</v>
      </c>
      <c r="T20" t="str">
        <f>VLOOKUP(S20,Dict[],2)</f>
        <v>Biosynthesis of terpenoids and polyketides</v>
      </c>
      <c r="AE20" t="s">
        <v>188</v>
      </c>
      <c r="AF20" t="str">
        <f>VLOOKUP(AE20,Dict[],2)</f>
        <v>Nucleotide metabolism</v>
      </c>
      <c r="AH20" s="7" t="s">
        <v>233</v>
      </c>
      <c r="AI20" s="7" t="s">
        <v>235</v>
      </c>
    </row>
    <row r="21" spans="4:35" x14ac:dyDescent="0.25">
      <c r="D21" t="s">
        <v>111</v>
      </c>
      <c r="E21" t="str">
        <f>VLOOKUP(D21,Dict[],2)</f>
        <v>Metabolism of cofactors and vitamins</v>
      </c>
      <c r="G21" t="s">
        <v>99</v>
      </c>
      <c r="H21" t="str">
        <f>VLOOKUP(G21,Dict[],2)</f>
        <v>Carbohydrate metabolism</v>
      </c>
      <c r="J21" t="s">
        <v>99</v>
      </c>
      <c r="K21" t="str">
        <f>VLOOKUP(J21,Dict[],2)</f>
        <v>Carbohydrate metabolism</v>
      </c>
      <c r="M21" t="s">
        <v>122</v>
      </c>
      <c r="N21" t="str">
        <f>VLOOKUP(M21,Dict[],2)</f>
        <v>Carbohydrate metabolism</v>
      </c>
      <c r="P21" t="s">
        <v>42</v>
      </c>
      <c r="Q21" t="str">
        <f>VLOOKUP(P21,Dict[],2)</f>
        <v>Carbohydrate metabolism</v>
      </c>
      <c r="S21" t="s">
        <v>80</v>
      </c>
      <c r="T21" t="str">
        <f>VLOOKUP(S21,Dict[],2)</f>
        <v>Carbohydrate metabolism</v>
      </c>
      <c r="AE21" t="s">
        <v>220</v>
      </c>
      <c r="AF21" t="str">
        <f>VLOOKUP(AE21,Dict[],2)</f>
        <v>Amino acid metabolism</v>
      </c>
      <c r="AH21" s="6" t="s">
        <v>174</v>
      </c>
      <c r="AI21" s="7" t="s">
        <v>235</v>
      </c>
    </row>
    <row r="22" spans="4:35" x14ac:dyDescent="0.25">
      <c r="G22" t="s">
        <v>29</v>
      </c>
      <c r="H22" t="str">
        <f>VLOOKUP(G22,Dict[],2)</f>
        <v>Carbohydrate metabolism</v>
      </c>
      <c r="J22" t="s">
        <v>165</v>
      </c>
      <c r="K22" t="str">
        <f>VLOOKUP(J22,Dict[],2)</f>
        <v>Carbohydrate metabolism</v>
      </c>
      <c r="M22" t="s">
        <v>8</v>
      </c>
      <c r="N22" t="str">
        <f>VLOOKUP(M22,Dict[],2)</f>
        <v>Carbohydrate metabolism</v>
      </c>
      <c r="P22" t="s">
        <v>100</v>
      </c>
      <c r="Q22" t="str">
        <f>VLOOKUP(P22,Dict[],2)</f>
        <v>Carbohydrate metabolism</v>
      </c>
      <c r="S22" t="s">
        <v>79</v>
      </c>
      <c r="T22" t="str">
        <f>VLOOKUP(S22,Dict[],2)</f>
        <v>Carbohydrate metabolism</v>
      </c>
      <c r="AE22" t="s">
        <v>204</v>
      </c>
      <c r="AF22" t="str">
        <f>VLOOKUP(AE22,Dict[],2)</f>
        <v>Carbohydrate metabolism</v>
      </c>
      <c r="AH22" s="6" t="s">
        <v>43</v>
      </c>
      <c r="AI22" s="7" t="s">
        <v>219</v>
      </c>
    </row>
    <row r="23" spans="4:35" x14ac:dyDescent="0.25">
      <c r="G23" t="s">
        <v>122</v>
      </c>
      <c r="H23" t="str">
        <f>VLOOKUP(G23,Dict[],2)</f>
        <v>Carbohydrate metabolism</v>
      </c>
      <c r="J23" t="s">
        <v>133</v>
      </c>
      <c r="K23" t="str">
        <f>VLOOKUP(J23,Dict[],2)</f>
        <v>Carbohydrate metabolism</v>
      </c>
      <c r="M23" t="s">
        <v>100</v>
      </c>
      <c r="N23" t="str">
        <f>VLOOKUP(M23,Dict[],2)</f>
        <v>Carbohydrate metabolism</v>
      </c>
      <c r="P23" t="s">
        <v>99</v>
      </c>
      <c r="Q23" t="str">
        <f>VLOOKUP(P23,Dict[],2)</f>
        <v>Carbohydrate metabolism</v>
      </c>
      <c r="S23" t="s">
        <v>81</v>
      </c>
      <c r="T23" t="str">
        <f>VLOOKUP(S23,Dict[],2)</f>
        <v>Carbohydrate metabolism</v>
      </c>
      <c r="AE23" t="s">
        <v>193</v>
      </c>
      <c r="AF23" t="str">
        <f>VLOOKUP(AE23,Dict[],2)</f>
        <v>Nucleotide metabolism</v>
      </c>
      <c r="AH23" s="6" t="s">
        <v>27</v>
      </c>
      <c r="AI23" s="7" t="s">
        <v>235</v>
      </c>
    </row>
    <row r="24" spans="4:35" x14ac:dyDescent="0.25">
      <c r="G24" t="s">
        <v>114</v>
      </c>
      <c r="H24" t="str">
        <f>VLOOKUP(G24,Dict[],2)</f>
        <v>Energy metabolism</v>
      </c>
      <c r="J24" t="s">
        <v>137</v>
      </c>
      <c r="K24" t="str">
        <f>VLOOKUP(J24,Dict[],2)</f>
        <v>Carbohydrate metabolism</v>
      </c>
      <c r="M24" t="s">
        <v>118</v>
      </c>
      <c r="N24" t="str">
        <f>VLOOKUP(M24,Dict[],2)</f>
        <v>Carbohydrate metabolism</v>
      </c>
      <c r="P24" t="s">
        <v>8</v>
      </c>
      <c r="Q24" t="str">
        <f>VLOOKUP(P24,Dict[],2)</f>
        <v>Carbohydrate metabolism</v>
      </c>
      <c r="S24" t="s">
        <v>25</v>
      </c>
      <c r="T24" t="str">
        <f>VLOOKUP(S24,Dict[],2)</f>
        <v>Carbohydrate metabolism</v>
      </c>
      <c r="AE24" t="s">
        <v>194</v>
      </c>
      <c r="AF24" t="str">
        <f>VLOOKUP(AE24,Dict[],2)</f>
        <v>Nucleotide metabolism</v>
      </c>
      <c r="AH24" s="7" t="s">
        <v>171</v>
      </c>
      <c r="AI24" s="7" t="s">
        <v>235</v>
      </c>
    </row>
    <row r="25" spans="4:35" x14ac:dyDescent="0.25">
      <c r="G25" t="s">
        <v>30</v>
      </c>
      <c r="H25" t="str">
        <f>VLOOKUP(G25,Dict[],2)</f>
        <v>Energy metabolism</v>
      </c>
      <c r="J25" t="s">
        <v>29</v>
      </c>
      <c r="K25" t="str">
        <f>VLOOKUP(J25,Dict[],2)</f>
        <v>Carbohydrate metabolism</v>
      </c>
      <c r="M25" t="s">
        <v>33</v>
      </c>
      <c r="N25" t="str">
        <f>VLOOKUP(M25,Dict[],2)</f>
        <v>Carbohydrate metabolism</v>
      </c>
      <c r="P25" t="s">
        <v>165</v>
      </c>
      <c r="Q25" t="str">
        <f>VLOOKUP(P25,Dict[],2)</f>
        <v>Carbohydrate metabolism</v>
      </c>
      <c r="S25" t="s">
        <v>69</v>
      </c>
      <c r="T25" t="str">
        <f>VLOOKUP(S25,Dict[],2)</f>
        <v>Carbohydrate metabolism</v>
      </c>
      <c r="AE25" t="s">
        <v>202</v>
      </c>
      <c r="AF25" t="str">
        <f>VLOOKUP(AE25,Dict[],2)</f>
        <v>Energy metabolism</v>
      </c>
      <c r="AH25" s="7" t="s">
        <v>164</v>
      </c>
      <c r="AI25" s="7" t="s">
        <v>235</v>
      </c>
    </row>
    <row r="26" spans="4:35" x14ac:dyDescent="0.25">
      <c r="G26" t="s">
        <v>63</v>
      </c>
      <c r="H26" t="str">
        <f>VLOOKUP(G26,Dict[],2)</f>
        <v>Energy metabolism</v>
      </c>
      <c r="J26" t="s">
        <v>122</v>
      </c>
      <c r="K26" t="str">
        <f>VLOOKUP(J26,Dict[],2)</f>
        <v>Carbohydrate metabolism</v>
      </c>
      <c r="M26" t="s">
        <v>99</v>
      </c>
      <c r="N26" t="str">
        <f>VLOOKUP(M26,Dict[],2)</f>
        <v>Carbohydrate metabolism</v>
      </c>
      <c r="P26" t="s">
        <v>133</v>
      </c>
      <c r="Q26" t="str">
        <f>VLOOKUP(P26,Dict[],2)</f>
        <v>Carbohydrate metabolism</v>
      </c>
      <c r="S26" t="s">
        <v>113</v>
      </c>
      <c r="T26" t="str">
        <f>VLOOKUP(S26,Dict[],2)</f>
        <v>Carbohydrate metabolism</v>
      </c>
      <c r="AE26" t="s">
        <v>199</v>
      </c>
      <c r="AF26" t="str">
        <f>VLOOKUP(AE26,Dict[],2)</f>
        <v>Carbohydrate metabolism</v>
      </c>
      <c r="AH26" s="6" t="s">
        <v>173</v>
      </c>
      <c r="AI26" s="7" t="s">
        <v>235</v>
      </c>
    </row>
    <row r="27" spans="4:35" x14ac:dyDescent="0.25">
      <c r="G27" t="s">
        <v>64</v>
      </c>
      <c r="H27" t="str">
        <f>VLOOKUP(G27,Dict[],2)</f>
        <v>Energy metabolism</v>
      </c>
      <c r="J27" t="s">
        <v>114</v>
      </c>
      <c r="K27" t="str">
        <f>VLOOKUP(J27,Dict[],2)</f>
        <v>Energy metabolism</v>
      </c>
      <c r="M27" t="s">
        <v>29</v>
      </c>
      <c r="N27" t="str">
        <f>VLOOKUP(M27,Dict[],2)</f>
        <v>Carbohydrate metabolism</v>
      </c>
      <c r="P27" t="s">
        <v>137</v>
      </c>
      <c r="Q27" t="str">
        <f>VLOOKUP(P27,Dict[],2)</f>
        <v>Carbohydrate metabolism</v>
      </c>
      <c r="S27" t="s">
        <v>117</v>
      </c>
      <c r="T27" t="str">
        <f>VLOOKUP(S27,Dict[],2)</f>
        <v>Carbohydrate metabolism</v>
      </c>
      <c r="AE27" t="s">
        <v>195</v>
      </c>
      <c r="AF27" t="str">
        <f>VLOOKUP(AE27,Dict[],2)</f>
        <v>Nucleotide metabolism</v>
      </c>
      <c r="AH27" s="6" t="s">
        <v>163</v>
      </c>
      <c r="AI27" s="7" t="s">
        <v>235</v>
      </c>
    </row>
    <row r="28" spans="4:35" x14ac:dyDescent="0.25">
      <c r="G28" t="s">
        <v>57</v>
      </c>
      <c r="H28" t="str">
        <f>VLOOKUP(G28,Dict[],2)</f>
        <v>Metabolism of cofactors and vitamins</v>
      </c>
      <c r="J28" t="s">
        <v>30</v>
      </c>
      <c r="K28" t="str">
        <f>VLOOKUP(J28,Dict[],2)</f>
        <v>Energy metabolism</v>
      </c>
      <c r="M28" t="s">
        <v>63</v>
      </c>
      <c r="N28" t="str">
        <f>VLOOKUP(M28,Dict[],2)</f>
        <v>Energy metabolism</v>
      </c>
      <c r="P28" t="s">
        <v>29</v>
      </c>
      <c r="Q28" t="str">
        <f>VLOOKUP(P28,Dict[],2)</f>
        <v>Carbohydrate metabolism</v>
      </c>
      <c r="S28" t="s">
        <v>7</v>
      </c>
      <c r="T28" t="str">
        <f>VLOOKUP(S28,Dict[],2)</f>
        <v>Carbohydrate metabolism</v>
      </c>
      <c r="AE28" t="s">
        <v>190</v>
      </c>
      <c r="AF28" t="str">
        <f>VLOOKUP(AE28,Dict[],2)</f>
        <v>Nucleotide metabolism</v>
      </c>
      <c r="AH28" s="7" t="s">
        <v>154</v>
      </c>
      <c r="AI28" s="7" t="s">
        <v>235</v>
      </c>
    </row>
    <row r="29" spans="4:35" x14ac:dyDescent="0.25">
      <c r="G29" t="s">
        <v>15</v>
      </c>
      <c r="H29" t="str">
        <f>VLOOKUP(G29,Dict[],2)</f>
        <v>Metabolism of cofactors and vitamins</v>
      </c>
      <c r="J29" t="s">
        <v>63</v>
      </c>
      <c r="K29" t="str">
        <f>VLOOKUP(J29,Dict[],2)</f>
        <v>Energy metabolism</v>
      </c>
      <c r="M29" t="s">
        <v>114</v>
      </c>
      <c r="N29" t="str">
        <f>VLOOKUP(M29,Dict[],2)</f>
        <v>Energy metabolism</v>
      </c>
      <c r="P29" t="s">
        <v>122</v>
      </c>
      <c r="Q29" t="str">
        <f>VLOOKUP(P29,Dict[],2)</f>
        <v>Carbohydrate metabolism</v>
      </c>
      <c r="S29" t="s">
        <v>58</v>
      </c>
      <c r="T29" t="str">
        <f>VLOOKUP(S29,Dict[],2)</f>
        <v>Carbohydrate metabolism</v>
      </c>
      <c r="AE29" t="s">
        <v>198</v>
      </c>
      <c r="AF29" t="str">
        <f>VLOOKUP(AE29,Dict[],2)</f>
        <v>Nucleotide metabolism</v>
      </c>
      <c r="AH29" s="6" t="s">
        <v>72</v>
      </c>
      <c r="AI29" s="7" t="s">
        <v>225</v>
      </c>
    </row>
    <row r="30" spans="4:35" x14ac:dyDescent="0.25">
      <c r="G30" t="s">
        <v>17</v>
      </c>
      <c r="H30" t="str">
        <f>VLOOKUP(G30,Dict[],2)</f>
        <v>None</v>
      </c>
      <c r="J30" t="s">
        <v>160</v>
      </c>
      <c r="K30" t="str">
        <f>VLOOKUP(J30,Dict[],2)</f>
        <v>Energy metabolism</v>
      </c>
      <c r="M30" t="s">
        <v>30</v>
      </c>
      <c r="N30" t="str">
        <f>VLOOKUP(M30,Dict[],2)</f>
        <v>Energy metabolism</v>
      </c>
      <c r="P30" t="s">
        <v>33</v>
      </c>
      <c r="Q30" t="str">
        <f>VLOOKUP(P30,Dict[],2)</f>
        <v>Carbohydrate metabolism</v>
      </c>
      <c r="S30" t="s">
        <v>61</v>
      </c>
      <c r="T30" t="str">
        <f>VLOOKUP(S30,Dict[],2)</f>
        <v>Carbohydrate metabolism</v>
      </c>
      <c r="AE30" t="s">
        <v>215</v>
      </c>
      <c r="AF30" t="str">
        <f>VLOOKUP(AE30,Dict[],2)</f>
        <v>Lipid metabolism</v>
      </c>
      <c r="AH30" s="6" t="s">
        <v>159</v>
      </c>
      <c r="AI30" s="7" t="s">
        <v>222</v>
      </c>
    </row>
    <row r="31" spans="4:35" x14ac:dyDescent="0.25">
      <c r="G31" t="s">
        <v>0</v>
      </c>
      <c r="H31" t="str">
        <f>VLOOKUP(G31,Dict[],2)</f>
        <v>None</v>
      </c>
      <c r="J31" t="s">
        <v>144</v>
      </c>
      <c r="K31" t="str">
        <f>VLOOKUP(J31,Dict[],2)</f>
        <v>Lipid metabolism</v>
      </c>
      <c r="M31" t="s">
        <v>111</v>
      </c>
      <c r="N31" t="str">
        <f>VLOOKUP(M31,Dict[],2)</f>
        <v>Metabolism of cofactors and vitamins</v>
      </c>
      <c r="P31" t="s">
        <v>118</v>
      </c>
      <c r="Q31" t="str">
        <f>VLOOKUP(P31,Dict[],2)</f>
        <v>Carbohydrate metabolism</v>
      </c>
      <c r="S31" t="s">
        <v>28</v>
      </c>
      <c r="T31" t="str">
        <f>VLOOKUP(S31,Dict[],2)</f>
        <v>Energy metabolism</v>
      </c>
      <c r="AE31" t="s">
        <v>214</v>
      </c>
      <c r="AF31" t="str">
        <f>VLOOKUP(AE31,Dict[],2)</f>
        <v>Carbohydrate metabolism</v>
      </c>
      <c r="AH31" s="6" t="s">
        <v>57</v>
      </c>
      <c r="AI31" s="7" t="s">
        <v>224</v>
      </c>
    </row>
    <row r="32" spans="4:35" x14ac:dyDescent="0.25">
      <c r="G32" t="s">
        <v>41</v>
      </c>
      <c r="H32" t="str">
        <f>VLOOKUP(G32,Dict[],2)</f>
        <v>None</v>
      </c>
      <c r="J32" t="s">
        <v>156</v>
      </c>
      <c r="K32" t="str">
        <f>VLOOKUP(J32,Dict[],2)</f>
        <v>Lipid metabolism</v>
      </c>
      <c r="M32" t="s">
        <v>109</v>
      </c>
      <c r="N32" t="str">
        <f>VLOOKUP(M32,Dict[],2)</f>
        <v>Metabolism of cofactors and vitamins</v>
      </c>
      <c r="P32" t="s">
        <v>159</v>
      </c>
      <c r="Q32" t="str">
        <f>VLOOKUP(P32,Dict[],2)</f>
        <v>Energy metabolism</v>
      </c>
      <c r="S32" t="s">
        <v>110</v>
      </c>
      <c r="T32" t="str">
        <f>VLOOKUP(S32,Dict[],2)</f>
        <v>Energy metabolism</v>
      </c>
      <c r="AE32" t="s">
        <v>213</v>
      </c>
      <c r="AF32" t="str">
        <f>VLOOKUP(AE32,Dict[],2)</f>
        <v>Carbohydrate metabolism</v>
      </c>
      <c r="AH32" s="7" t="s">
        <v>51</v>
      </c>
      <c r="AI32" s="7" t="s">
        <v>225</v>
      </c>
    </row>
    <row r="33" spans="7:35" x14ac:dyDescent="0.25">
      <c r="G33" t="s">
        <v>107</v>
      </c>
      <c r="H33" t="str">
        <f>VLOOKUP(G33,Dict[],2)</f>
        <v>None</v>
      </c>
      <c r="J33" t="s">
        <v>130</v>
      </c>
      <c r="K33" t="str">
        <f>VLOOKUP(J33,Dict[],2)</f>
        <v>Lipid metabolism</v>
      </c>
      <c r="M33" t="s">
        <v>71</v>
      </c>
      <c r="N33" t="str">
        <f>VLOOKUP(M33,Dict[],2)</f>
        <v>Metabolism of cofactors and vitamins</v>
      </c>
      <c r="P33" t="s">
        <v>155</v>
      </c>
      <c r="Q33" t="str">
        <f>VLOOKUP(P33,Dict[],2)</f>
        <v>Energy metabolism</v>
      </c>
      <c r="S33" t="s">
        <v>62</v>
      </c>
      <c r="T33" t="str">
        <f>VLOOKUP(S33,Dict[],2)</f>
        <v>Energy metabolism</v>
      </c>
      <c r="AE33" t="s">
        <v>210</v>
      </c>
      <c r="AF33" t="str">
        <f>VLOOKUP(AE33,Dict[],2)</f>
        <v>Carbohydrate metabolism</v>
      </c>
      <c r="AH33" s="6" t="s">
        <v>69</v>
      </c>
      <c r="AI33" s="7" t="s">
        <v>221</v>
      </c>
    </row>
    <row r="34" spans="7:35" x14ac:dyDescent="0.25">
      <c r="G34" t="s">
        <v>10</v>
      </c>
      <c r="H34" t="str">
        <f>VLOOKUP(G34,Dict[],2)</f>
        <v>Nucleotide metabolism</v>
      </c>
      <c r="J34" t="s">
        <v>57</v>
      </c>
      <c r="K34" t="str">
        <f>VLOOKUP(J34,Dict[],2)</f>
        <v>Metabolism of cofactors and vitamins</v>
      </c>
      <c r="M34" t="s">
        <v>108</v>
      </c>
      <c r="N34" t="str">
        <f>VLOOKUP(M34,Dict[],2)</f>
        <v>Metabolism of cofactors and vitamins</v>
      </c>
      <c r="P34" t="s">
        <v>141</v>
      </c>
      <c r="Q34" t="str">
        <f>VLOOKUP(P34,Dict[],2)</f>
        <v>Energy metabolism</v>
      </c>
      <c r="S34" t="s">
        <v>82</v>
      </c>
      <c r="T34" t="str">
        <f>VLOOKUP(S34,Dict[],2)</f>
        <v>Energy metabolism</v>
      </c>
      <c r="AE34" t="s">
        <v>212</v>
      </c>
      <c r="AF34" t="str">
        <f>VLOOKUP(AE34,Dict[],2)</f>
        <v>Carbohydrate metabolism</v>
      </c>
      <c r="AH34" s="6" t="s">
        <v>216</v>
      </c>
      <c r="AI34" s="7" t="s">
        <v>221</v>
      </c>
    </row>
    <row r="35" spans="7:35" x14ac:dyDescent="0.25">
      <c r="G35" t="s">
        <v>56</v>
      </c>
      <c r="H35" t="str">
        <f>VLOOKUP(G35,Dict[],2)</f>
        <v>Nucleotide metabolism</v>
      </c>
      <c r="J35" t="s">
        <v>139</v>
      </c>
      <c r="K35" t="str">
        <f>VLOOKUP(J35,Dict[],2)</f>
        <v>Metabolism of cofactors and vitamins</v>
      </c>
      <c r="M35" t="s">
        <v>36</v>
      </c>
      <c r="N35" t="str">
        <f>VLOOKUP(M35,Dict[],2)</f>
        <v>Metabolism of cofactors and vitamins</v>
      </c>
      <c r="P35" t="s">
        <v>114</v>
      </c>
      <c r="Q35" t="str">
        <f>VLOOKUP(P35,Dict[],2)</f>
        <v>Energy metabolism</v>
      </c>
      <c r="S35" t="s">
        <v>60</v>
      </c>
      <c r="T35" t="str">
        <f>VLOOKUP(S35,Dict[],2)</f>
        <v>Lipid metabolism</v>
      </c>
      <c r="AE35" t="s">
        <v>200</v>
      </c>
      <c r="AF35" t="str">
        <f>VLOOKUP(AE35,Dict[],2)</f>
        <v>Metabolism of cofactors and vitamins</v>
      </c>
      <c r="AH35" s="6" t="s">
        <v>147</v>
      </c>
      <c r="AI35" s="7" t="s">
        <v>221</v>
      </c>
    </row>
    <row r="36" spans="7:35" x14ac:dyDescent="0.25">
      <c r="G36" t="s">
        <v>5</v>
      </c>
      <c r="H36" t="str">
        <f>VLOOKUP(G36,Dict[],2)</f>
        <v>Nucleotide metabolism</v>
      </c>
      <c r="J36" t="s">
        <v>140</v>
      </c>
      <c r="K36" t="str">
        <f>VLOOKUP(J36,Dict[],2)</f>
        <v>Metabolism of cofactors and vitamins</v>
      </c>
      <c r="M36" t="s">
        <v>15</v>
      </c>
      <c r="N36" t="str">
        <f>VLOOKUP(M36,Dict[],2)</f>
        <v>Metabolism of cofactors and vitamins</v>
      </c>
      <c r="P36" t="s">
        <v>30</v>
      </c>
      <c r="Q36" t="str">
        <f>VLOOKUP(P36,Dict[],2)</f>
        <v>Energy metabolism</v>
      </c>
      <c r="S36" t="s">
        <v>77</v>
      </c>
      <c r="T36" t="str">
        <f>VLOOKUP(S36,Dict[],2)</f>
        <v>Lipid metabolism</v>
      </c>
      <c r="AH36" s="6" t="s">
        <v>144</v>
      </c>
      <c r="AI36" s="7" t="s">
        <v>223</v>
      </c>
    </row>
    <row r="37" spans="7:35" x14ac:dyDescent="0.25">
      <c r="J37" t="s">
        <v>152</v>
      </c>
      <c r="K37" t="str">
        <f>VLOOKUP(J37,Dict[],2)</f>
        <v>Metabolism of cofactors and vitamins</v>
      </c>
      <c r="M37" t="s">
        <v>57</v>
      </c>
      <c r="N37" t="str">
        <f>VLOOKUP(M37,Dict[],2)</f>
        <v>Metabolism of cofactors and vitamins</v>
      </c>
      <c r="P37" t="s">
        <v>63</v>
      </c>
      <c r="Q37" t="str">
        <f>VLOOKUP(P37,Dict[],2)</f>
        <v>Energy metabolism</v>
      </c>
      <c r="S37" t="s">
        <v>37</v>
      </c>
      <c r="T37" t="str">
        <f>VLOOKUP(S37,Dict[],2)</f>
        <v>Lipid metabolism</v>
      </c>
      <c r="AH37" s="6" t="s">
        <v>131</v>
      </c>
      <c r="AI37" s="7" t="s">
        <v>235</v>
      </c>
    </row>
    <row r="38" spans="7:35" x14ac:dyDescent="0.25">
      <c r="J38" t="s">
        <v>15</v>
      </c>
      <c r="K38" t="str">
        <f>VLOOKUP(J38,Dict[],2)</f>
        <v>Metabolism of cofactors and vitamins</v>
      </c>
      <c r="M38" t="s">
        <v>17</v>
      </c>
      <c r="N38" t="str">
        <f>VLOOKUP(M38,Dict[],2)</f>
        <v>None</v>
      </c>
      <c r="P38" t="s">
        <v>144</v>
      </c>
      <c r="Q38" t="str">
        <f>VLOOKUP(P38,Dict[],2)</f>
        <v>Lipid metabolism</v>
      </c>
      <c r="S38" t="s">
        <v>59</v>
      </c>
      <c r="T38" t="str">
        <f>VLOOKUP(S38,Dict[],2)</f>
        <v>Lipid metabolism</v>
      </c>
      <c r="AH38" s="7" t="s">
        <v>126</v>
      </c>
      <c r="AI38" s="7" t="s">
        <v>235</v>
      </c>
    </row>
    <row r="39" spans="7:35" x14ac:dyDescent="0.25">
      <c r="J39" t="s">
        <v>27</v>
      </c>
      <c r="K39" t="str">
        <f>VLOOKUP(J39,Dict[],2)</f>
        <v>None</v>
      </c>
      <c r="M39" t="s">
        <v>41</v>
      </c>
      <c r="N39" t="str">
        <f>VLOOKUP(M39,Dict[],2)</f>
        <v>None</v>
      </c>
      <c r="P39" t="s">
        <v>156</v>
      </c>
      <c r="Q39" t="str">
        <f>VLOOKUP(P39,Dict[],2)</f>
        <v>Lipid metabolism</v>
      </c>
      <c r="S39" t="s">
        <v>34</v>
      </c>
      <c r="T39" t="str">
        <f>VLOOKUP(S39,Dict[],2)</f>
        <v>Lipid metabolism</v>
      </c>
      <c r="AH39" s="7" t="s">
        <v>127</v>
      </c>
      <c r="AI39" s="7" t="s">
        <v>235</v>
      </c>
    </row>
    <row r="40" spans="7:35" x14ac:dyDescent="0.25">
      <c r="J40" t="s">
        <v>163</v>
      </c>
      <c r="K40" t="str">
        <f>VLOOKUP(J40,Dict[],2)</f>
        <v>None</v>
      </c>
      <c r="M40" t="s">
        <v>27</v>
      </c>
      <c r="N40" t="str">
        <f>VLOOKUP(M40,Dict[],2)</f>
        <v>None</v>
      </c>
      <c r="P40" t="s">
        <v>130</v>
      </c>
      <c r="Q40" t="str">
        <f>VLOOKUP(P40,Dict[],2)</f>
        <v>Lipid metabolism</v>
      </c>
      <c r="S40" t="s">
        <v>101</v>
      </c>
      <c r="T40" t="str">
        <f>VLOOKUP(S40,Dict[],2)</f>
        <v>Lipid metabolism</v>
      </c>
      <c r="AH40" s="6" t="s">
        <v>156</v>
      </c>
      <c r="AI40" s="7" t="s">
        <v>223</v>
      </c>
    </row>
    <row r="41" spans="7:35" x14ac:dyDescent="0.25">
      <c r="J41" t="s">
        <v>131</v>
      </c>
      <c r="K41" t="str">
        <f>VLOOKUP(J41,Dict[],2)</f>
        <v>None</v>
      </c>
      <c r="M41" t="s">
        <v>0</v>
      </c>
      <c r="N41" t="str">
        <f>VLOOKUP(M41,Dict[],2)</f>
        <v>None</v>
      </c>
      <c r="P41" t="s">
        <v>71</v>
      </c>
      <c r="Q41" t="str">
        <f>VLOOKUP(P41,Dict[],2)</f>
        <v>Metabolism of cofactors and vitamins</v>
      </c>
      <c r="S41" t="s">
        <v>23</v>
      </c>
      <c r="T41" t="str">
        <f>VLOOKUP(S41,Dict[],2)</f>
        <v>Lipid metabolism</v>
      </c>
      <c r="AH41" s="7" t="s">
        <v>59</v>
      </c>
      <c r="AI41" s="7" t="s">
        <v>223</v>
      </c>
    </row>
    <row r="42" spans="7:35" x14ac:dyDescent="0.25">
      <c r="J42" t="s">
        <v>161</v>
      </c>
      <c r="K42" t="str">
        <f>VLOOKUP(J42,Dict[],2)</f>
        <v>None</v>
      </c>
      <c r="M42" t="s">
        <v>107</v>
      </c>
      <c r="N42" t="str">
        <f>VLOOKUP(M42,Dict[],2)</f>
        <v>None</v>
      </c>
      <c r="P42" t="s">
        <v>57</v>
      </c>
      <c r="Q42" t="str">
        <f>VLOOKUP(P42,Dict[],2)</f>
        <v>Metabolism of cofactors and vitamins</v>
      </c>
      <c r="S42" t="s">
        <v>11</v>
      </c>
      <c r="T42" t="str">
        <f>VLOOKUP(S42,Dict[],2)</f>
        <v>Metabolism of cofactors and vitamins</v>
      </c>
      <c r="AH42" s="7" t="s">
        <v>34</v>
      </c>
      <c r="AI42" s="7" t="s">
        <v>223</v>
      </c>
    </row>
    <row r="43" spans="7:35" x14ac:dyDescent="0.25">
      <c r="J43" t="s">
        <v>17</v>
      </c>
      <c r="K43" t="str">
        <f>VLOOKUP(J43,Dict[],2)</f>
        <v>None</v>
      </c>
      <c r="M43" t="s">
        <v>9</v>
      </c>
      <c r="N43" t="str">
        <f>VLOOKUP(M43,Dict[],2)</f>
        <v>None</v>
      </c>
      <c r="P43" t="s">
        <v>36</v>
      </c>
      <c r="Q43" t="str">
        <f>VLOOKUP(P43,Dict[],2)</f>
        <v>Metabolism of cofactors and vitamins</v>
      </c>
      <c r="S43" t="s">
        <v>96</v>
      </c>
      <c r="T43" t="str">
        <f>VLOOKUP(S43,Dict[],2)</f>
        <v>Metabolism of cofactors and vitamins</v>
      </c>
      <c r="AH43" s="6" t="s">
        <v>101</v>
      </c>
      <c r="AI43" s="7" t="s">
        <v>223</v>
      </c>
    </row>
    <row r="44" spans="7:35" x14ac:dyDescent="0.25">
      <c r="J44" t="s">
        <v>0</v>
      </c>
      <c r="K44" t="str">
        <f>VLOOKUP(J44,Dict[],2)</f>
        <v>None</v>
      </c>
      <c r="M44" t="s">
        <v>56</v>
      </c>
      <c r="N44" t="str">
        <f>VLOOKUP(M44,Dict[],2)</f>
        <v>Nucleotide metabolism</v>
      </c>
      <c r="P44" t="s">
        <v>139</v>
      </c>
      <c r="Q44" t="str">
        <f>VLOOKUP(P44,Dict[],2)</f>
        <v>Metabolism of cofactors and vitamins</v>
      </c>
      <c r="S44" t="s">
        <v>116</v>
      </c>
      <c r="T44" t="str">
        <f>VLOOKUP(S44,Dict[],2)</f>
        <v>Metabolism of cofactors and vitamins</v>
      </c>
      <c r="AH44" s="7" t="s">
        <v>148</v>
      </c>
      <c r="AI44" s="7" t="s">
        <v>219</v>
      </c>
    </row>
    <row r="45" spans="7:35" x14ac:dyDescent="0.25">
      <c r="J45" t="s">
        <v>150</v>
      </c>
      <c r="K45" t="str">
        <f>VLOOKUP(J45,Dict[],2)</f>
        <v>None</v>
      </c>
      <c r="M45" t="s">
        <v>5</v>
      </c>
      <c r="N45" t="str">
        <f>VLOOKUP(M45,Dict[],2)</f>
        <v>Nucleotide metabolism</v>
      </c>
      <c r="P45" t="s">
        <v>143</v>
      </c>
      <c r="Q45" t="str">
        <f>VLOOKUP(P45,Dict[],2)</f>
        <v>Metabolism of cofactors and vitamins</v>
      </c>
      <c r="S45" t="s">
        <v>13</v>
      </c>
      <c r="T45" t="str">
        <f>VLOOKUP(S45,Dict[],2)</f>
        <v>Metabolism of cofactors and vitamins</v>
      </c>
      <c r="AH45" s="6" t="s">
        <v>19</v>
      </c>
      <c r="AI45" s="7" t="s">
        <v>222</v>
      </c>
    </row>
    <row r="46" spans="7:35" x14ac:dyDescent="0.25">
      <c r="J46" t="s">
        <v>41</v>
      </c>
      <c r="K46" t="str">
        <f>VLOOKUP(J46,Dict[],2)</f>
        <v>None</v>
      </c>
      <c r="M46" t="s">
        <v>10</v>
      </c>
      <c r="N46" t="str">
        <f>VLOOKUP(M46,Dict[],2)</f>
        <v>Nucleotide metabolism</v>
      </c>
      <c r="P46" t="s">
        <v>140</v>
      </c>
      <c r="Q46" t="str">
        <f>VLOOKUP(P46,Dict[],2)</f>
        <v>Metabolism of cofactors and vitamins</v>
      </c>
      <c r="S46" t="s">
        <v>44</v>
      </c>
      <c r="T46" t="str">
        <f>VLOOKUP(S46,Dict[],2)</f>
        <v>Metabolism of cofactors and vitamins</v>
      </c>
      <c r="AH46" s="7" t="s">
        <v>70</v>
      </c>
      <c r="AI46" s="7" t="s">
        <v>235</v>
      </c>
    </row>
    <row r="47" spans="7:35" x14ac:dyDescent="0.25">
      <c r="J47" t="s">
        <v>134</v>
      </c>
      <c r="K47" t="str">
        <f>VLOOKUP(J47,Dict[],2)</f>
        <v>None</v>
      </c>
      <c r="P47" t="s">
        <v>111</v>
      </c>
      <c r="Q47" t="str">
        <f>VLOOKUP(P47,Dict[],2)</f>
        <v>Metabolism of cofactors and vitamins</v>
      </c>
      <c r="S47" t="s">
        <v>106</v>
      </c>
      <c r="T47" t="str">
        <f>VLOOKUP(S47,Dict[],2)</f>
        <v>Metabolism of cofactors and vitamins</v>
      </c>
      <c r="AH47" s="6" t="s">
        <v>186</v>
      </c>
      <c r="AI47" s="7" t="s">
        <v>223</v>
      </c>
    </row>
    <row r="48" spans="7:35" x14ac:dyDescent="0.25">
      <c r="J48" t="s">
        <v>107</v>
      </c>
      <c r="K48" t="str">
        <f>VLOOKUP(J48,Dict[],2)</f>
        <v>None</v>
      </c>
      <c r="P48" t="s">
        <v>152</v>
      </c>
      <c r="Q48" t="str">
        <f>VLOOKUP(P48,Dict[],2)</f>
        <v>Metabolism of cofactors and vitamins</v>
      </c>
      <c r="S48" t="s">
        <v>12</v>
      </c>
      <c r="T48" t="str">
        <f>VLOOKUP(S48,Dict[],2)</f>
        <v>Metabolism of cofactors and vitamins</v>
      </c>
      <c r="AH48" s="6" t="s">
        <v>132</v>
      </c>
      <c r="AI48" s="7" t="s">
        <v>225</v>
      </c>
    </row>
    <row r="49" spans="10:35" x14ac:dyDescent="0.25">
      <c r="J49" t="s">
        <v>132</v>
      </c>
      <c r="K49" t="str">
        <f>VLOOKUP(J49,Dict[],2)</f>
        <v>Nucleotide metabolism</v>
      </c>
      <c r="P49" t="s">
        <v>15</v>
      </c>
      <c r="Q49" t="str">
        <f>VLOOKUP(P49,Dict[],2)</f>
        <v>Metabolism of cofactors and vitamins</v>
      </c>
      <c r="S49" t="s">
        <v>40</v>
      </c>
      <c r="T49" t="str">
        <f>VLOOKUP(S49,Dict[],2)</f>
        <v>Metabolism of cofactors and vitamins</v>
      </c>
      <c r="AH49" s="7" t="s">
        <v>55</v>
      </c>
      <c r="AI49" s="7" t="s">
        <v>225</v>
      </c>
    </row>
    <row r="50" spans="10:35" x14ac:dyDescent="0.25">
      <c r="J50" t="s">
        <v>149</v>
      </c>
      <c r="K50" t="str">
        <f>VLOOKUP(J50,Dict[],2)</f>
        <v>Nucleotide metabolism</v>
      </c>
      <c r="P50" t="s">
        <v>108</v>
      </c>
      <c r="Q50" t="str">
        <f>VLOOKUP(P50,Dict[],2)</f>
        <v>Metabolism of cofactors and vitamins</v>
      </c>
      <c r="S50" t="s">
        <v>94</v>
      </c>
      <c r="T50" t="str">
        <f>VLOOKUP(S50,Dict[],2)</f>
        <v>Metabolism of cofactors and vitamins</v>
      </c>
      <c r="AH50" s="6" t="s">
        <v>206</v>
      </c>
      <c r="AI50" s="7" t="s">
        <v>224</v>
      </c>
    </row>
    <row r="51" spans="10:35" x14ac:dyDescent="0.25">
      <c r="J51" t="s">
        <v>10</v>
      </c>
      <c r="K51" t="str">
        <f>VLOOKUP(J51,Dict[],2)</f>
        <v>Nucleotide metabolism</v>
      </c>
      <c r="P51" t="s">
        <v>109</v>
      </c>
      <c r="Q51" t="str">
        <f>VLOOKUP(P51,Dict[],2)</f>
        <v>Metabolism of cofactors and vitamins</v>
      </c>
      <c r="S51" t="s">
        <v>95</v>
      </c>
      <c r="T51" t="str">
        <f>VLOOKUP(S51,Dict[],2)</f>
        <v>Metabolism of cofactors and vitamins</v>
      </c>
      <c r="AH51" s="6" t="s">
        <v>149</v>
      </c>
      <c r="AI51" s="7" t="s">
        <v>225</v>
      </c>
    </row>
    <row r="52" spans="10:35" x14ac:dyDescent="0.25">
      <c r="J52" t="s">
        <v>128</v>
      </c>
      <c r="K52" t="str">
        <f>VLOOKUP(J52,Dict[],2)</f>
        <v>Nucleotide metabolism</v>
      </c>
      <c r="P52" t="s">
        <v>27</v>
      </c>
      <c r="Q52" t="str">
        <f>VLOOKUP(P52,Dict[],2)</f>
        <v>None</v>
      </c>
      <c r="S52" t="s">
        <v>125</v>
      </c>
      <c r="T52" t="str">
        <f>VLOOKUP(S52,Dict[],2)</f>
        <v>Metabolism of cofactors and vitamins</v>
      </c>
      <c r="AH52" s="6" t="s">
        <v>10</v>
      </c>
      <c r="AI52" s="7" t="s">
        <v>225</v>
      </c>
    </row>
    <row r="53" spans="10:35" x14ac:dyDescent="0.25">
      <c r="J53" t="s">
        <v>135</v>
      </c>
      <c r="K53" t="str">
        <f>VLOOKUP(J53,Dict[],2)</f>
        <v>Nucleotide metabolism</v>
      </c>
      <c r="P53" t="s">
        <v>163</v>
      </c>
      <c r="Q53" t="str">
        <f>VLOOKUP(P53,Dict[],2)</f>
        <v>None</v>
      </c>
      <c r="S53" t="s">
        <v>92</v>
      </c>
      <c r="T53" t="str">
        <f>VLOOKUP(S53,Dict[],2)</f>
        <v>Metabolism of cofactors and vitamins</v>
      </c>
      <c r="AH53" s="6" t="s">
        <v>128</v>
      </c>
      <c r="AI53" s="7" t="s">
        <v>225</v>
      </c>
    </row>
    <row r="54" spans="10:35" x14ac:dyDescent="0.25">
      <c r="J54" t="s">
        <v>162</v>
      </c>
      <c r="K54" t="str">
        <f>VLOOKUP(J54,Dict[],2)</f>
        <v>Nucleotide metabolism</v>
      </c>
      <c r="P54" t="s">
        <v>131</v>
      </c>
      <c r="Q54" t="str">
        <f>VLOOKUP(P54,Dict[],2)</f>
        <v>None</v>
      </c>
      <c r="S54" t="s">
        <v>73</v>
      </c>
      <c r="T54" t="str">
        <f>VLOOKUP(S54,Dict[],2)</f>
        <v>Metabolism of cofactors and vitamins</v>
      </c>
      <c r="AH54" s="7" t="s">
        <v>11</v>
      </c>
      <c r="AI54" s="7" t="s">
        <v>224</v>
      </c>
    </row>
    <row r="55" spans="10:35" x14ac:dyDescent="0.25">
      <c r="J55" t="s">
        <v>153</v>
      </c>
      <c r="K55" t="str">
        <f>VLOOKUP(J55,Dict[],2)</f>
        <v>Nucleotide metabolism</v>
      </c>
      <c r="P55" t="s">
        <v>161</v>
      </c>
      <c r="Q55" t="str">
        <f>VLOOKUP(P55,Dict[],2)</f>
        <v>None</v>
      </c>
      <c r="S55" t="s">
        <v>47</v>
      </c>
      <c r="T55" t="str">
        <f>VLOOKUP(S55,Dict[],2)</f>
        <v>None</v>
      </c>
      <c r="AH55" s="7" t="s">
        <v>74</v>
      </c>
      <c r="AI55" s="7" t="s">
        <v>219</v>
      </c>
    </row>
    <row r="56" spans="10:35" x14ac:dyDescent="0.25">
      <c r="J56" t="s">
        <v>56</v>
      </c>
      <c r="K56" t="str">
        <f>VLOOKUP(J56,Dict[],2)</f>
        <v>Nucleotide metabolism</v>
      </c>
      <c r="P56" t="s">
        <v>17</v>
      </c>
      <c r="Q56" t="str">
        <f>VLOOKUP(P56,Dict[],2)</f>
        <v>None</v>
      </c>
      <c r="S56" t="s">
        <v>126</v>
      </c>
      <c r="T56" t="str">
        <f>VLOOKUP(S56,Dict[],2)</f>
        <v>None</v>
      </c>
      <c r="AH56" s="7" t="s">
        <v>65</v>
      </c>
      <c r="AI56" s="7" t="s">
        <v>229</v>
      </c>
    </row>
    <row r="57" spans="10:35" x14ac:dyDescent="0.25">
      <c r="J57" t="s">
        <v>5</v>
      </c>
      <c r="K57" t="str">
        <f>VLOOKUP(J57,Dict[],2)</f>
        <v>Nucleotide metabolism</v>
      </c>
      <c r="P57" t="s">
        <v>0</v>
      </c>
      <c r="Q57" t="str">
        <f>VLOOKUP(P57,Dict[],2)</f>
        <v>None</v>
      </c>
      <c r="S57" t="s">
        <v>127</v>
      </c>
      <c r="T57" t="str">
        <f>VLOOKUP(S57,Dict[],2)</f>
        <v>None</v>
      </c>
      <c r="AH57" s="6" t="s">
        <v>105</v>
      </c>
      <c r="AI57" s="7" t="s">
        <v>219</v>
      </c>
    </row>
    <row r="58" spans="10:35" x14ac:dyDescent="0.25">
      <c r="P58" t="s">
        <v>150</v>
      </c>
      <c r="Q58" t="str">
        <f>VLOOKUP(P58,Dict[],2)</f>
        <v>None</v>
      </c>
      <c r="S58" t="s">
        <v>70</v>
      </c>
      <c r="T58" t="str">
        <f>VLOOKUP(S58,Dict[],2)</f>
        <v>None</v>
      </c>
      <c r="AH58" s="7" t="s">
        <v>96</v>
      </c>
      <c r="AI58" s="7" t="s">
        <v>224</v>
      </c>
    </row>
    <row r="59" spans="10:35" x14ac:dyDescent="0.25">
      <c r="P59" t="s">
        <v>9</v>
      </c>
      <c r="Q59" t="str">
        <f>VLOOKUP(P59,Dict[],2)</f>
        <v>None</v>
      </c>
      <c r="S59" t="s">
        <v>48</v>
      </c>
      <c r="T59" t="str">
        <f>VLOOKUP(S59,Dict[],2)</f>
        <v>None</v>
      </c>
      <c r="AH59" s="7" t="s">
        <v>113</v>
      </c>
      <c r="AI59" s="7" t="s">
        <v>221</v>
      </c>
    </row>
    <row r="60" spans="10:35" x14ac:dyDescent="0.25">
      <c r="P60" t="s">
        <v>145</v>
      </c>
      <c r="Q60" t="str">
        <f>VLOOKUP(P60,Dict[],2)</f>
        <v>None</v>
      </c>
      <c r="S60" t="s">
        <v>18</v>
      </c>
      <c r="T60" t="str">
        <f>VLOOKUP(S60,Dict[],2)</f>
        <v>None</v>
      </c>
      <c r="AH60" s="7" t="s">
        <v>117</v>
      </c>
      <c r="AI60" s="7" t="s">
        <v>221</v>
      </c>
    </row>
    <row r="61" spans="10:35" x14ac:dyDescent="0.25">
      <c r="P61" t="s">
        <v>41</v>
      </c>
      <c r="Q61" t="str">
        <f>VLOOKUP(P61,Dict[],2)</f>
        <v>None</v>
      </c>
      <c r="S61" t="s">
        <v>39</v>
      </c>
      <c r="T61" t="str">
        <f>VLOOKUP(S61,Dict[],2)</f>
        <v>None</v>
      </c>
      <c r="AH61" s="6" t="s">
        <v>100</v>
      </c>
      <c r="AI61" s="7" t="s">
        <v>221</v>
      </c>
    </row>
    <row r="62" spans="10:35" x14ac:dyDescent="0.25">
      <c r="P62" t="s">
        <v>134</v>
      </c>
      <c r="Q62" t="str">
        <f>VLOOKUP(P62,Dict[],2)</f>
        <v>None</v>
      </c>
      <c r="S62" t="s">
        <v>103</v>
      </c>
      <c r="T62" t="str">
        <f>VLOOKUP(S62,Dict[],2)</f>
        <v>None</v>
      </c>
      <c r="AH62" s="6" t="s">
        <v>197</v>
      </c>
      <c r="AI62" s="7" t="s">
        <v>225</v>
      </c>
    </row>
    <row r="63" spans="10:35" x14ac:dyDescent="0.25">
      <c r="P63" t="s">
        <v>107</v>
      </c>
      <c r="Q63" t="str">
        <f>VLOOKUP(P63,Dict[],2)</f>
        <v>None</v>
      </c>
      <c r="S63" t="s">
        <v>3</v>
      </c>
      <c r="T63" t="str">
        <f>VLOOKUP(S63,Dict[],2)</f>
        <v>Nucleotide metabolism</v>
      </c>
      <c r="AH63" s="6" t="s">
        <v>218</v>
      </c>
      <c r="AI63" s="7" t="s">
        <v>221</v>
      </c>
    </row>
    <row r="64" spans="10:35" x14ac:dyDescent="0.25">
      <c r="P64" t="s">
        <v>132</v>
      </c>
      <c r="Q64" t="str">
        <f>VLOOKUP(P64,Dict[],2)</f>
        <v>Nucleotide metabolism</v>
      </c>
      <c r="S64" t="s">
        <v>72</v>
      </c>
      <c r="T64" t="str">
        <f>VLOOKUP(S64,Dict[],2)</f>
        <v>Nucleotide metabolism</v>
      </c>
      <c r="AH64" s="6" t="s">
        <v>129</v>
      </c>
      <c r="AI64" s="7" t="s">
        <v>225</v>
      </c>
    </row>
    <row r="65" spans="16:35" x14ac:dyDescent="0.25">
      <c r="P65" t="s">
        <v>149</v>
      </c>
      <c r="Q65" t="str">
        <f>VLOOKUP(P65,Dict[],2)</f>
        <v>Nucleotide metabolism</v>
      </c>
      <c r="S65" t="s">
        <v>51</v>
      </c>
      <c r="T65" t="str">
        <f>VLOOKUP(S65,Dict[],2)</f>
        <v>Nucleotide metabolism</v>
      </c>
      <c r="AH65" s="6" t="s">
        <v>36</v>
      </c>
      <c r="AI65" s="7" t="s">
        <v>224</v>
      </c>
    </row>
    <row r="66" spans="16:35" x14ac:dyDescent="0.25">
      <c r="P66" t="s">
        <v>10</v>
      </c>
      <c r="Q66" t="str">
        <f>VLOOKUP(P66,Dict[],2)</f>
        <v>Nucleotide metabolism</v>
      </c>
      <c r="S66" t="s">
        <v>55</v>
      </c>
      <c r="T66" t="str">
        <f>VLOOKUP(S66,Dict[],2)</f>
        <v>Nucleotide metabolism</v>
      </c>
      <c r="AH66" s="7" t="s">
        <v>98</v>
      </c>
      <c r="AI66" s="7" t="s">
        <v>224</v>
      </c>
    </row>
    <row r="67" spans="16:35" x14ac:dyDescent="0.25">
      <c r="P67" t="s">
        <v>128</v>
      </c>
      <c r="Q67" t="str">
        <f>VLOOKUP(P67,Dict[],2)</f>
        <v>Nucleotide metabolism</v>
      </c>
      <c r="S67" t="s">
        <v>78</v>
      </c>
      <c r="T67" t="str">
        <f>VLOOKUP(S67,Dict[],2)</f>
        <v>Nucleotide metabolism</v>
      </c>
      <c r="AH67" s="6" t="s">
        <v>139</v>
      </c>
      <c r="AI67" s="7" t="s">
        <v>224</v>
      </c>
    </row>
    <row r="68" spans="16:35" x14ac:dyDescent="0.25">
      <c r="P68" t="s">
        <v>129</v>
      </c>
      <c r="Q68" t="str">
        <f>VLOOKUP(P68,Dict[],2)</f>
        <v>Nucleotide metabolism</v>
      </c>
      <c r="S68" t="s">
        <v>121</v>
      </c>
      <c r="T68" t="str">
        <f>VLOOKUP(S68,Dict[],2)</f>
        <v>Nucleotide metabolism</v>
      </c>
      <c r="AH68" s="6" t="s">
        <v>130</v>
      </c>
      <c r="AI68" s="7" t="s">
        <v>223</v>
      </c>
    </row>
    <row r="69" spans="16:35" x14ac:dyDescent="0.25">
      <c r="P69" t="s">
        <v>162</v>
      </c>
      <c r="Q69" t="str">
        <f>VLOOKUP(P69,Dict[],2)</f>
        <v>Nucleotide metabolism</v>
      </c>
      <c r="S69" t="s">
        <v>91</v>
      </c>
      <c r="T69" t="str">
        <f>VLOOKUP(S69,Dict[],2)</f>
        <v>Nucleotide metabolism</v>
      </c>
      <c r="AH69" s="7" t="s">
        <v>231</v>
      </c>
      <c r="AI69" s="7" t="s">
        <v>223</v>
      </c>
    </row>
    <row r="70" spans="16:35" x14ac:dyDescent="0.25">
      <c r="P70" t="s">
        <v>153</v>
      </c>
      <c r="Q70" t="str">
        <f>VLOOKUP(P70,Dict[],2)</f>
        <v>Nucleotide metabolism</v>
      </c>
      <c r="S70" t="s">
        <v>84</v>
      </c>
      <c r="T70" t="str">
        <f>VLOOKUP(S70,Dict[],2)</f>
        <v>Nucleotide metabolism</v>
      </c>
      <c r="AH70" s="7" t="s">
        <v>116</v>
      </c>
      <c r="AI70" s="7" t="s">
        <v>224</v>
      </c>
    </row>
    <row r="71" spans="16:35" x14ac:dyDescent="0.25">
      <c r="P71" t="s">
        <v>56</v>
      </c>
      <c r="Q71" t="str">
        <f>VLOOKUP(P71,Dict[],2)</f>
        <v>Nucleotide metabolism</v>
      </c>
      <c r="S71" t="s">
        <v>52</v>
      </c>
      <c r="T71" t="str">
        <f>VLOOKUP(S71,Dict[],2)</f>
        <v>Nucleotide metabolism</v>
      </c>
      <c r="AH71" s="6" t="s">
        <v>99</v>
      </c>
      <c r="AI71" s="7" t="s">
        <v>221</v>
      </c>
    </row>
    <row r="72" spans="16:35" x14ac:dyDescent="0.25">
      <c r="P72" t="s">
        <v>5</v>
      </c>
      <c r="Q72" t="str">
        <f>VLOOKUP(P72,Dict[],2)</f>
        <v>Nucleotide metabolism</v>
      </c>
      <c r="S72" t="s">
        <v>54</v>
      </c>
      <c r="T72" t="str">
        <f>VLOOKUP(S72,Dict[],2)</f>
        <v>Nucleotide metabolism</v>
      </c>
      <c r="AH72" s="7" t="s">
        <v>158</v>
      </c>
      <c r="AI72" s="7" t="s">
        <v>225</v>
      </c>
    </row>
    <row r="73" spans="16:35" x14ac:dyDescent="0.25">
      <c r="S73" t="s">
        <v>115</v>
      </c>
      <c r="T73" t="str">
        <f>VLOOKUP(S73,Dict[],2)</f>
        <v>Nucleotide metabolism</v>
      </c>
      <c r="AH73" s="6" t="s">
        <v>205</v>
      </c>
      <c r="AI73" s="7" t="s">
        <v>221</v>
      </c>
    </row>
    <row r="74" spans="16:35" x14ac:dyDescent="0.25">
      <c r="S74" t="s">
        <v>4</v>
      </c>
      <c r="T74" t="str">
        <f>VLOOKUP(S74,Dict[],2)</f>
        <v>Nucleotide metabolism</v>
      </c>
      <c r="AH74" s="7" t="s">
        <v>83</v>
      </c>
      <c r="AI74" s="7" t="s">
        <v>219</v>
      </c>
    </row>
    <row r="75" spans="16:35" x14ac:dyDescent="0.25">
      <c r="S75" t="s">
        <v>53</v>
      </c>
      <c r="T75" t="str">
        <f>VLOOKUP(S75,Dict[],2)</f>
        <v>Nucleotide metabolism</v>
      </c>
      <c r="AH75" s="6" t="s">
        <v>189</v>
      </c>
      <c r="AI75" s="7" t="s">
        <v>225</v>
      </c>
    </row>
    <row r="76" spans="16:35" x14ac:dyDescent="0.25">
      <c r="AH76" s="6" t="s">
        <v>196</v>
      </c>
      <c r="AI76" s="7" t="s">
        <v>225</v>
      </c>
    </row>
    <row r="77" spans="16:35" x14ac:dyDescent="0.25">
      <c r="AH77" s="7" t="s">
        <v>232</v>
      </c>
      <c r="AI77" s="7" t="s">
        <v>223</v>
      </c>
    </row>
    <row r="78" spans="16:35" x14ac:dyDescent="0.25">
      <c r="AH78" s="7" t="s">
        <v>26</v>
      </c>
      <c r="AI78" s="7" t="s">
        <v>235</v>
      </c>
    </row>
    <row r="79" spans="16:35" x14ac:dyDescent="0.25">
      <c r="AH79" s="6" t="s">
        <v>155</v>
      </c>
      <c r="AI79" s="7" t="s">
        <v>222</v>
      </c>
    </row>
    <row r="80" spans="16:35" x14ac:dyDescent="0.25">
      <c r="AH80" s="6" t="s">
        <v>28</v>
      </c>
      <c r="AI80" s="7" t="s">
        <v>222</v>
      </c>
    </row>
    <row r="81" spans="1:35" x14ac:dyDescent="0.25">
      <c r="AH81" s="6" t="s">
        <v>161</v>
      </c>
      <c r="AI81" s="7" t="s">
        <v>235</v>
      </c>
    </row>
    <row r="82" spans="1:35" x14ac:dyDescent="0.25">
      <c r="AH82" s="6" t="s">
        <v>191</v>
      </c>
      <c r="AI82" s="7" t="s">
        <v>225</v>
      </c>
    </row>
    <row r="83" spans="1:35" x14ac:dyDescent="0.25">
      <c r="AH83" s="7" t="s">
        <v>78</v>
      </c>
      <c r="AI83" s="7" t="s">
        <v>225</v>
      </c>
    </row>
    <row r="84" spans="1:35" x14ac:dyDescent="0.25">
      <c r="AH84" s="7" t="s">
        <v>21</v>
      </c>
      <c r="AI84" s="7" t="s">
        <v>229</v>
      </c>
    </row>
    <row r="85" spans="1:35" x14ac:dyDescent="0.25">
      <c r="AH85" s="6" t="s">
        <v>162</v>
      </c>
      <c r="AI85" s="7" t="s">
        <v>225</v>
      </c>
    </row>
    <row r="86" spans="1:35" x14ac:dyDescent="0.25">
      <c r="AH86" s="6" t="s">
        <v>153</v>
      </c>
      <c r="AI86" s="7" t="s">
        <v>225</v>
      </c>
    </row>
    <row r="87" spans="1:35" x14ac:dyDescent="0.25">
      <c r="AH87" s="6" t="s">
        <v>121</v>
      </c>
      <c r="AI87" s="7" t="s">
        <v>225</v>
      </c>
    </row>
    <row r="88" spans="1:35" x14ac:dyDescent="0.25">
      <c r="AH88" s="6" t="s">
        <v>217</v>
      </c>
      <c r="AI88" s="7" t="s">
        <v>225</v>
      </c>
    </row>
    <row r="89" spans="1:35" x14ac:dyDescent="0.25">
      <c r="AH89" s="10" t="s">
        <v>56</v>
      </c>
      <c r="AI89" s="9" t="s">
        <v>225</v>
      </c>
    </row>
    <row r="90" spans="1:35" x14ac:dyDescent="0.25">
      <c r="A90" t="s">
        <v>42</v>
      </c>
      <c r="AH90" s="10" t="s">
        <v>5</v>
      </c>
      <c r="AI90" s="9" t="s">
        <v>225</v>
      </c>
    </row>
    <row r="91" spans="1:35" x14ac:dyDescent="0.25">
      <c r="A91" t="s">
        <v>71</v>
      </c>
      <c r="B91" t="str" cm="1">
        <f t="array" ref="B91:H97">_xlfn.WRAPROWS(A90:A134,7)</f>
        <v>1.2.4.1</v>
      </c>
      <c r="C91" t="str">
        <v>1.5.1.3</v>
      </c>
      <c r="D91" t="str">
        <v>1.8.1.9</v>
      </c>
      <c r="E91" t="str">
        <v>2.1.2.9</v>
      </c>
      <c r="F91" t="str">
        <v>2.4.2.8</v>
      </c>
      <c r="G91" t="str">
        <v>2.5.1.6</v>
      </c>
      <c r="H91" t="str">
        <v>2.7.1.11</v>
      </c>
      <c r="AH91" s="10" t="s">
        <v>8</v>
      </c>
      <c r="AI91" s="9" t="s">
        <v>221</v>
      </c>
    </row>
    <row r="92" spans="1:35" x14ac:dyDescent="0.25">
      <c r="A92" t="s">
        <v>27</v>
      </c>
      <c r="B92" t="str">
        <v>2.7.1.23</v>
      </c>
      <c r="C92" t="str">
        <v>2.7.1.40</v>
      </c>
      <c r="D92" t="str">
        <v>2.7.4.8</v>
      </c>
      <c r="E92" t="str">
        <v>2.7.4.9</v>
      </c>
      <c r="F92" t="str">
        <v>2.7.6.1</v>
      </c>
      <c r="G92" t="str">
        <v>2.7.7.6</v>
      </c>
      <c r="H92" t="str">
        <v>2.7.7.7</v>
      </c>
      <c r="AH92" s="8" t="s">
        <v>13</v>
      </c>
      <c r="AI92" s="9" t="s">
        <v>224</v>
      </c>
    </row>
    <row r="93" spans="1:35" x14ac:dyDescent="0.25">
      <c r="A93" t="s">
        <v>57</v>
      </c>
      <c r="B93" t="str">
        <v>2.7.8.7</v>
      </c>
      <c r="C93" t="str">
        <v>3.1.1.29</v>
      </c>
      <c r="D93" t="str">
        <v>3.5.1.88</v>
      </c>
      <c r="E93" t="str">
        <v>4.1.2.13</v>
      </c>
      <c r="F93" t="str">
        <v>4.2.1.11</v>
      </c>
      <c r="G93" t="str">
        <v>5.3.1.1</v>
      </c>
      <c r="H93" t="str">
        <v>5.3.1.6</v>
      </c>
      <c r="AH93" s="8" t="s">
        <v>91</v>
      </c>
      <c r="AI93" s="9" t="s">
        <v>225</v>
      </c>
    </row>
    <row r="94" spans="1:35" x14ac:dyDescent="0.25">
      <c r="A94" t="s">
        <v>10</v>
      </c>
      <c r="B94" t="str">
        <v>5.3.1.9</v>
      </c>
      <c r="C94" t="str">
        <v>5.4.2.12</v>
      </c>
      <c r="D94" t="str">
        <v>5.4.2.2</v>
      </c>
      <c r="E94" t="str">
        <v>6.1.1.1</v>
      </c>
      <c r="F94" t="str">
        <v>6.1.1.10</v>
      </c>
      <c r="G94" t="str">
        <v>6.1.1.11</v>
      </c>
      <c r="H94" t="str">
        <v>6.1.1.12</v>
      </c>
      <c r="AH94" s="10" t="s">
        <v>143</v>
      </c>
      <c r="AI94" s="9" t="s">
        <v>224</v>
      </c>
    </row>
    <row r="95" spans="1:35" x14ac:dyDescent="0.25">
      <c r="A95" t="s">
        <v>105</v>
      </c>
      <c r="B95" t="str">
        <v>6.1.1.14</v>
      </c>
      <c r="C95" t="str">
        <v>6.1.1.15</v>
      </c>
      <c r="D95" t="str">
        <v>6.1.1.16</v>
      </c>
      <c r="E95" t="str">
        <v>6.1.1.17</v>
      </c>
      <c r="F95" t="str">
        <v>6.1.1.19</v>
      </c>
      <c r="G95" t="str">
        <v>6.1.1.2</v>
      </c>
      <c r="H95" t="str">
        <v>6.1.1.20</v>
      </c>
      <c r="AH95" s="10" t="s">
        <v>140</v>
      </c>
      <c r="AI95" s="9" t="s">
        <v>224</v>
      </c>
    </row>
    <row r="96" spans="1:35" x14ac:dyDescent="0.25">
      <c r="A96" t="s">
        <v>100</v>
      </c>
      <c r="B96" t="str">
        <v>6.1.1.21</v>
      </c>
      <c r="C96" t="str">
        <v>6.1.1.3</v>
      </c>
      <c r="D96" t="str">
        <v>6.1.1.4</v>
      </c>
      <c r="E96" t="str">
        <v>6.1.1.5</v>
      </c>
      <c r="F96" t="str">
        <v>6.1.1.6</v>
      </c>
      <c r="G96" t="str">
        <v>6.1.1.7</v>
      </c>
      <c r="H96" t="str">
        <v>6.1.1.9</v>
      </c>
      <c r="AH96" s="8" t="s">
        <v>7</v>
      </c>
      <c r="AI96" s="9" t="s">
        <v>221</v>
      </c>
    </row>
    <row r="97" spans="1:35" x14ac:dyDescent="0.25">
      <c r="A97" t="s">
        <v>36</v>
      </c>
      <c r="B97" t="str">
        <v>6.3.1.5</v>
      </c>
      <c r="C97" t="str">
        <v>6.3.4.21</v>
      </c>
      <c r="D97" t="str">
        <v>6.5.1.2</v>
      </c>
      <c r="E97" t="e">
        <v>#N/A</v>
      </c>
      <c r="F97" t="e">
        <v>#N/A</v>
      </c>
      <c r="G97" t="e">
        <v>#N/A</v>
      </c>
      <c r="H97" t="e">
        <v>#N/A</v>
      </c>
      <c r="AH97" s="8" t="s">
        <v>44</v>
      </c>
      <c r="AI97" s="9" t="s">
        <v>224</v>
      </c>
    </row>
    <row r="98" spans="1:35" x14ac:dyDescent="0.25">
      <c r="A98" t="s">
        <v>99</v>
      </c>
      <c r="AH98" s="8" t="s">
        <v>23</v>
      </c>
      <c r="AI98" s="9" t="s">
        <v>223</v>
      </c>
    </row>
    <row r="99" spans="1:35" x14ac:dyDescent="0.25">
      <c r="A99" t="s">
        <v>56</v>
      </c>
      <c r="AH99" s="10" t="s">
        <v>207</v>
      </c>
      <c r="AI99" s="9" t="s">
        <v>223</v>
      </c>
    </row>
    <row r="100" spans="1:35" x14ac:dyDescent="0.25">
      <c r="A100" t="s">
        <v>5</v>
      </c>
      <c r="AH100" s="8" t="s">
        <v>17</v>
      </c>
      <c r="AI100" s="7" t="s">
        <v>235</v>
      </c>
    </row>
    <row r="101" spans="1:35" x14ac:dyDescent="0.25">
      <c r="A101" t="s">
        <v>8</v>
      </c>
      <c r="AH101" s="8" t="s">
        <v>2</v>
      </c>
      <c r="AI101" s="9" t="s">
        <v>229</v>
      </c>
    </row>
    <row r="102" spans="1:35" x14ac:dyDescent="0.25">
      <c r="A102" t="s">
        <v>17</v>
      </c>
      <c r="AH102" s="8" t="s">
        <v>0</v>
      </c>
      <c r="AI102" s="7" t="s">
        <v>235</v>
      </c>
    </row>
    <row r="103" spans="1:35" x14ac:dyDescent="0.25">
      <c r="A103" t="s">
        <v>0</v>
      </c>
      <c r="AH103" s="10" t="s">
        <v>165</v>
      </c>
      <c r="AI103" s="9" t="s">
        <v>221</v>
      </c>
    </row>
    <row r="104" spans="1:35" x14ac:dyDescent="0.25">
      <c r="A104" t="s">
        <v>111</v>
      </c>
      <c r="AH104" s="8" t="s">
        <v>48</v>
      </c>
      <c r="AI104" s="7" t="s">
        <v>235</v>
      </c>
    </row>
    <row r="105" spans="1:35" x14ac:dyDescent="0.25">
      <c r="A105" t="s">
        <v>9</v>
      </c>
      <c r="AH105" s="10" t="s">
        <v>67</v>
      </c>
      <c r="AI105" s="9" t="s">
        <v>223</v>
      </c>
    </row>
    <row r="106" spans="1:35" x14ac:dyDescent="0.25">
      <c r="A106" t="s">
        <v>41</v>
      </c>
      <c r="AH106" s="10" t="s">
        <v>111</v>
      </c>
      <c r="AI106" s="9" t="s">
        <v>224</v>
      </c>
    </row>
    <row r="107" spans="1:35" x14ac:dyDescent="0.25">
      <c r="A107" t="s">
        <v>114</v>
      </c>
      <c r="AH107" s="10" t="s">
        <v>192</v>
      </c>
      <c r="AI107" s="9" t="s">
        <v>219</v>
      </c>
    </row>
    <row r="108" spans="1:35" x14ac:dyDescent="0.25">
      <c r="A108" t="s">
        <v>30</v>
      </c>
      <c r="AH108" s="10" t="s">
        <v>150</v>
      </c>
      <c r="AI108" s="7" t="s">
        <v>235</v>
      </c>
    </row>
    <row r="109" spans="1:35" x14ac:dyDescent="0.25">
      <c r="A109" t="s">
        <v>29</v>
      </c>
      <c r="AH109" s="8" t="s">
        <v>157</v>
      </c>
      <c r="AI109" s="9" t="s">
        <v>224</v>
      </c>
    </row>
    <row r="110" spans="1:35" x14ac:dyDescent="0.25">
      <c r="A110" t="s">
        <v>122</v>
      </c>
      <c r="AH110" s="8" t="s">
        <v>9</v>
      </c>
      <c r="AI110" s="7" t="s">
        <v>235</v>
      </c>
    </row>
    <row r="111" spans="1:35" x14ac:dyDescent="0.25">
      <c r="A111" t="s">
        <v>33</v>
      </c>
      <c r="AH111" s="10" t="s">
        <v>152</v>
      </c>
      <c r="AI111" s="9" t="s">
        <v>224</v>
      </c>
    </row>
    <row r="112" spans="1:35" x14ac:dyDescent="0.25">
      <c r="A112" t="s">
        <v>63</v>
      </c>
      <c r="AH112" s="10" t="s">
        <v>145</v>
      </c>
      <c r="AI112" s="7" t="s">
        <v>235</v>
      </c>
    </row>
    <row r="113" spans="1:35" x14ac:dyDescent="0.25">
      <c r="A113" t="s">
        <v>118</v>
      </c>
      <c r="AH113" s="10" t="s">
        <v>209</v>
      </c>
      <c r="AI113" s="9" t="s">
        <v>223</v>
      </c>
    </row>
    <row r="114" spans="1:35" x14ac:dyDescent="0.25">
      <c r="A114" t="s">
        <v>102</v>
      </c>
      <c r="AH114" s="10" t="s">
        <v>208</v>
      </c>
      <c r="AI114" s="9" t="s">
        <v>223</v>
      </c>
    </row>
    <row r="115" spans="1:35" x14ac:dyDescent="0.25">
      <c r="A115" t="s">
        <v>6</v>
      </c>
      <c r="AH115" s="10" t="s">
        <v>187</v>
      </c>
      <c r="AI115" s="9" t="s">
        <v>225</v>
      </c>
    </row>
    <row r="116" spans="1:35" x14ac:dyDescent="0.25">
      <c r="A116" t="s">
        <v>1</v>
      </c>
      <c r="AH116" s="10" t="s">
        <v>141</v>
      </c>
      <c r="AI116" s="9" t="s">
        <v>222</v>
      </c>
    </row>
    <row r="117" spans="1:35" x14ac:dyDescent="0.25">
      <c r="A117" t="s">
        <v>89</v>
      </c>
      <c r="AH117" s="10" t="s">
        <v>188</v>
      </c>
      <c r="AI117" s="9" t="s">
        <v>225</v>
      </c>
    </row>
    <row r="118" spans="1:35" x14ac:dyDescent="0.25">
      <c r="A118" t="s">
        <v>85</v>
      </c>
      <c r="AH118" s="8" t="s">
        <v>230</v>
      </c>
      <c r="AI118" s="9" t="s">
        <v>224</v>
      </c>
    </row>
    <row r="119" spans="1:35" x14ac:dyDescent="0.25">
      <c r="A119" t="s">
        <v>66</v>
      </c>
      <c r="AH119" s="10" t="s">
        <v>220</v>
      </c>
      <c r="AI119" s="9" t="s">
        <v>219</v>
      </c>
    </row>
    <row r="120" spans="1:35" x14ac:dyDescent="0.25">
      <c r="A120" t="s">
        <v>16</v>
      </c>
      <c r="AH120" s="10" t="s">
        <v>204</v>
      </c>
      <c r="AI120" s="9" t="s">
        <v>221</v>
      </c>
    </row>
    <row r="121" spans="1:35" x14ac:dyDescent="0.25">
      <c r="A121" t="s">
        <v>15</v>
      </c>
      <c r="AH121" s="8" t="s">
        <v>41</v>
      </c>
      <c r="AI121" s="7" t="s">
        <v>235</v>
      </c>
    </row>
    <row r="122" spans="1:35" x14ac:dyDescent="0.25">
      <c r="A122" t="s">
        <v>22</v>
      </c>
      <c r="AH122" s="8" t="s">
        <v>52</v>
      </c>
      <c r="AI122" s="9" t="s">
        <v>225</v>
      </c>
    </row>
    <row r="123" spans="1:35" x14ac:dyDescent="0.25">
      <c r="A123" t="s">
        <v>35</v>
      </c>
      <c r="AH123" s="8" t="s">
        <v>119</v>
      </c>
      <c r="AI123" s="9" t="s">
        <v>219</v>
      </c>
    </row>
    <row r="124" spans="1:35" x14ac:dyDescent="0.25">
      <c r="A124" t="s">
        <v>45</v>
      </c>
      <c r="AH124" s="10" t="s">
        <v>193</v>
      </c>
      <c r="AI124" s="9" t="s">
        <v>225</v>
      </c>
    </row>
    <row r="125" spans="1:35" x14ac:dyDescent="0.25">
      <c r="A125" t="s">
        <v>90</v>
      </c>
      <c r="AH125" s="10" t="s">
        <v>194</v>
      </c>
      <c r="AI125" s="9" t="s">
        <v>225</v>
      </c>
    </row>
    <row r="126" spans="1:35" x14ac:dyDescent="0.25">
      <c r="A126" t="s">
        <v>97</v>
      </c>
      <c r="AH126" s="8" t="s">
        <v>86</v>
      </c>
      <c r="AI126" s="9" t="s">
        <v>225</v>
      </c>
    </row>
    <row r="127" spans="1:35" x14ac:dyDescent="0.25">
      <c r="A127" t="s">
        <v>104</v>
      </c>
      <c r="AH127" s="10" t="s">
        <v>202</v>
      </c>
      <c r="AI127" s="9" t="s">
        <v>222</v>
      </c>
    </row>
    <row r="128" spans="1:35" x14ac:dyDescent="0.25">
      <c r="A128" t="s">
        <v>50</v>
      </c>
      <c r="AH128" s="10" t="s">
        <v>199</v>
      </c>
      <c r="AI128" s="9" t="s">
        <v>221</v>
      </c>
    </row>
    <row r="129" spans="1:35" x14ac:dyDescent="0.25">
      <c r="A129" t="s">
        <v>14</v>
      </c>
      <c r="AH129" s="8" t="s">
        <v>110</v>
      </c>
      <c r="AI129" s="9" t="s">
        <v>222</v>
      </c>
    </row>
    <row r="130" spans="1:35" x14ac:dyDescent="0.25">
      <c r="A130" t="s">
        <v>88</v>
      </c>
      <c r="AH130" s="10" t="s">
        <v>195</v>
      </c>
      <c r="AI130" s="9" t="s">
        <v>225</v>
      </c>
    </row>
    <row r="131" spans="1:35" x14ac:dyDescent="0.25">
      <c r="A131" t="s">
        <v>93</v>
      </c>
      <c r="AH131" s="10" t="s">
        <v>190</v>
      </c>
      <c r="AI131" s="9" t="s">
        <v>225</v>
      </c>
    </row>
    <row r="132" spans="1:35" x14ac:dyDescent="0.25">
      <c r="A132" t="s">
        <v>108</v>
      </c>
      <c r="AH132" s="10" t="s">
        <v>198</v>
      </c>
      <c r="AI132" s="9" t="s">
        <v>225</v>
      </c>
    </row>
    <row r="133" spans="1:35" x14ac:dyDescent="0.25">
      <c r="A133" t="s">
        <v>109</v>
      </c>
      <c r="AH133" s="8" t="s">
        <v>234</v>
      </c>
      <c r="AI133" s="7" t="s">
        <v>235</v>
      </c>
    </row>
    <row r="134" spans="1:35" x14ac:dyDescent="0.25">
      <c r="A134" t="s">
        <v>107</v>
      </c>
      <c r="AH134" s="8" t="s">
        <v>18</v>
      </c>
      <c r="AI134" s="7" t="s">
        <v>235</v>
      </c>
    </row>
    <row r="135" spans="1:35" x14ac:dyDescent="0.25">
      <c r="AH135" s="8" t="s">
        <v>54</v>
      </c>
      <c r="AI135" s="9" t="s">
        <v>225</v>
      </c>
    </row>
    <row r="136" spans="1:35" x14ac:dyDescent="0.25">
      <c r="AH136" s="8" t="s">
        <v>20</v>
      </c>
      <c r="AI136" s="9" t="s">
        <v>229</v>
      </c>
    </row>
    <row r="137" spans="1:35" x14ac:dyDescent="0.25">
      <c r="AH137" s="8" t="s">
        <v>106</v>
      </c>
      <c r="AI137" s="9" t="s">
        <v>224</v>
      </c>
    </row>
    <row r="138" spans="1:35" x14ac:dyDescent="0.25">
      <c r="AH138" s="10" t="s">
        <v>215</v>
      </c>
      <c r="AI138" s="9" t="s">
        <v>223</v>
      </c>
    </row>
    <row r="139" spans="1:35" x14ac:dyDescent="0.25">
      <c r="AH139" s="8" t="s">
        <v>39</v>
      </c>
      <c r="AI139" s="7" t="s">
        <v>235</v>
      </c>
    </row>
    <row r="140" spans="1:35" x14ac:dyDescent="0.25">
      <c r="AH140" s="10" t="s">
        <v>114</v>
      </c>
      <c r="AI140" s="9" t="s">
        <v>222</v>
      </c>
    </row>
    <row r="141" spans="1:35" x14ac:dyDescent="0.25">
      <c r="AH141" s="8" t="s">
        <v>12</v>
      </c>
      <c r="AI141" s="9" t="s">
        <v>224</v>
      </c>
    </row>
    <row r="142" spans="1:35" x14ac:dyDescent="0.25">
      <c r="AH142" s="10" t="s">
        <v>133</v>
      </c>
      <c r="AI142" s="9" t="s">
        <v>221</v>
      </c>
    </row>
    <row r="143" spans="1:35" x14ac:dyDescent="0.25">
      <c r="AH143" s="8" t="s">
        <v>40</v>
      </c>
      <c r="AI143" s="9" t="s">
        <v>224</v>
      </c>
    </row>
    <row r="144" spans="1:35" x14ac:dyDescent="0.25">
      <c r="AH144" s="8" t="s">
        <v>31</v>
      </c>
      <c r="AI144" s="9" t="s">
        <v>219</v>
      </c>
    </row>
    <row r="145" spans="34:35" x14ac:dyDescent="0.25">
      <c r="AH145" s="10" t="s">
        <v>30</v>
      </c>
      <c r="AI145" s="9" t="s">
        <v>222</v>
      </c>
    </row>
    <row r="146" spans="34:35" x14ac:dyDescent="0.25">
      <c r="AH146" s="8" t="s">
        <v>94</v>
      </c>
      <c r="AI146" s="9" t="s">
        <v>224</v>
      </c>
    </row>
    <row r="147" spans="34:35" x14ac:dyDescent="0.25">
      <c r="AH147" s="8" t="s">
        <v>95</v>
      </c>
      <c r="AI147" s="9" t="s">
        <v>224</v>
      </c>
    </row>
    <row r="148" spans="34:35" x14ac:dyDescent="0.25">
      <c r="AH148" s="8" t="s">
        <v>75</v>
      </c>
      <c r="AI148" s="9" t="s">
        <v>219</v>
      </c>
    </row>
    <row r="149" spans="34:35" x14ac:dyDescent="0.25">
      <c r="AH149" s="8" t="s">
        <v>76</v>
      </c>
      <c r="AI149" s="9" t="s">
        <v>219</v>
      </c>
    </row>
    <row r="150" spans="34:35" x14ac:dyDescent="0.25">
      <c r="AH150" s="8" t="s">
        <v>125</v>
      </c>
      <c r="AI150" s="9" t="s">
        <v>224</v>
      </c>
    </row>
    <row r="151" spans="34:35" x14ac:dyDescent="0.25">
      <c r="AH151" s="8" t="s">
        <v>46</v>
      </c>
      <c r="AI151" s="9" t="s">
        <v>219</v>
      </c>
    </row>
    <row r="152" spans="34:35" x14ac:dyDescent="0.25">
      <c r="AH152" s="10" t="s">
        <v>58</v>
      </c>
      <c r="AI152" s="9" t="s">
        <v>221</v>
      </c>
    </row>
    <row r="153" spans="34:35" x14ac:dyDescent="0.25">
      <c r="AH153" s="10" t="s">
        <v>137</v>
      </c>
      <c r="AI153" s="9" t="s">
        <v>221</v>
      </c>
    </row>
    <row r="154" spans="34:35" x14ac:dyDescent="0.25">
      <c r="AH154" s="10" t="s">
        <v>214</v>
      </c>
      <c r="AI154" s="9" t="s">
        <v>221</v>
      </c>
    </row>
    <row r="155" spans="34:35" x14ac:dyDescent="0.25">
      <c r="AH155" s="8" t="s">
        <v>168</v>
      </c>
      <c r="AI155" s="7" t="s">
        <v>235</v>
      </c>
    </row>
    <row r="156" spans="34:35" x14ac:dyDescent="0.25">
      <c r="AH156" s="10" t="s">
        <v>29</v>
      </c>
      <c r="AI156" s="9" t="s">
        <v>221</v>
      </c>
    </row>
    <row r="157" spans="34:35" x14ac:dyDescent="0.25">
      <c r="AH157" s="10" t="s">
        <v>122</v>
      </c>
      <c r="AI157" s="9" t="s">
        <v>221</v>
      </c>
    </row>
    <row r="158" spans="34:35" x14ac:dyDescent="0.25">
      <c r="AH158" s="10" t="s">
        <v>213</v>
      </c>
      <c r="AI158" s="9" t="s">
        <v>221</v>
      </c>
    </row>
    <row r="159" spans="34:35" x14ac:dyDescent="0.25">
      <c r="AH159" s="10" t="s">
        <v>33</v>
      </c>
      <c r="AI159" s="9" t="s">
        <v>221</v>
      </c>
    </row>
    <row r="160" spans="34:35" x14ac:dyDescent="0.25">
      <c r="AH160" s="8" t="s">
        <v>123</v>
      </c>
      <c r="AI160" s="9" t="s">
        <v>229</v>
      </c>
    </row>
    <row r="161" spans="34:35" x14ac:dyDescent="0.25">
      <c r="AH161" s="8" t="s">
        <v>62</v>
      </c>
      <c r="AI161" s="9" t="s">
        <v>222</v>
      </c>
    </row>
    <row r="162" spans="34:35" x14ac:dyDescent="0.25">
      <c r="AH162" s="10" t="s">
        <v>63</v>
      </c>
      <c r="AI162" s="9" t="s">
        <v>222</v>
      </c>
    </row>
    <row r="163" spans="34:35" x14ac:dyDescent="0.25">
      <c r="AH163" s="8" t="s">
        <v>118</v>
      </c>
      <c r="AI163" s="9" t="s">
        <v>221</v>
      </c>
    </row>
    <row r="164" spans="34:35" x14ac:dyDescent="0.25">
      <c r="AH164" s="10" t="s">
        <v>210</v>
      </c>
      <c r="AI164" s="9" t="s">
        <v>221</v>
      </c>
    </row>
    <row r="165" spans="34:35" x14ac:dyDescent="0.25">
      <c r="AH165" s="10" t="s">
        <v>212</v>
      </c>
      <c r="AI165" s="9" t="s">
        <v>221</v>
      </c>
    </row>
    <row r="166" spans="34:35" x14ac:dyDescent="0.25">
      <c r="AH166" s="8" t="s">
        <v>120</v>
      </c>
      <c r="AI166" s="7" t="s">
        <v>235</v>
      </c>
    </row>
    <row r="167" spans="34:35" x14ac:dyDescent="0.25">
      <c r="AH167" s="10" t="s">
        <v>138</v>
      </c>
      <c r="AI167" s="9" t="s">
        <v>221</v>
      </c>
    </row>
    <row r="168" spans="34:35" x14ac:dyDescent="0.25">
      <c r="AH168" s="8" t="s">
        <v>102</v>
      </c>
      <c r="AI168" s="9" t="s">
        <v>219</v>
      </c>
    </row>
    <row r="169" spans="34:35" x14ac:dyDescent="0.25">
      <c r="AH169" s="8" t="s">
        <v>6</v>
      </c>
      <c r="AI169" s="9" t="s">
        <v>219</v>
      </c>
    </row>
    <row r="170" spans="34:35" x14ac:dyDescent="0.25">
      <c r="AH170" s="8" t="s">
        <v>1</v>
      </c>
      <c r="AI170" s="9" t="s">
        <v>219</v>
      </c>
    </row>
    <row r="171" spans="34:35" x14ac:dyDescent="0.25">
      <c r="AH171" s="8" t="s">
        <v>89</v>
      </c>
      <c r="AI171" s="9" t="s">
        <v>219</v>
      </c>
    </row>
    <row r="172" spans="34:35" x14ac:dyDescent="0.25">
      <c r="AH172" s="8" t="s">
        <v>32</v>
      </c>
      <c r="AI172" s="9" t="s">
        <v>219</v>
      </c>
    </row>
    <row r="173" spans="34:35" x14ac:dyDescent="0.25">
      <c r="AH173" s="8" t="s">
        <v>85</v>
      </c>
      <c r="AI173" s="9" t="s">
        <v>219</v>
      </c>
    </row>
    <row r="174" spans="34:35" x14ac:dyDescent="0.25">
      <c r="AH174" s="8" t="s">
        <v>66</v>
      </c>
      <c r="AI174" s="9" t="s">
        <v>219</v>
      </c>
    </row>
    <row r="175" spans="34:35" x14ac:dyDescent="0.25">
      <c r="AH175" s="8" t="s">
        <v>16</v>
      </c>
      <c r="AI175" s="9" t="s">
        <v>219</v>
      </c>
    </row>
    <row r="176" spans="34:35" x14ac:dyDescent="0.25">
      <c r="AH176" s="8" t="s">
        <v>15</v>
      </c>
      <c r="AI176" s="9" t="s">
        <v>224</v>
      </c>
    </row>
    <row r="177" spans="34:35" x14ac:dyDescent="0.25">
      <c r="AH177" s="8" t="s">
        <v>22</v>
      </c>
      <c r="AI177" s="9" t="s">
        <v>219</v>
      </c>
    </row>
    <row r="178" spans="34:35" x14ac:dyDescent="0.25">
      <c r="AH178" s="8" t="s">
        <v>35</v>
      </c>
      <c r="AI178" s="9" t="s">
        <v>219</v>
      </c>
    </row>
    <row r="179" spans="34:35" x14ac:dyDescent="0.25">
      <c r="AH179" s="8" t="s">
        <v>45</v>
      </c>
      <c r="AI179" s="9" t="s">
        <v>219</v>
      </c>
    </row>
    <row r="180" spans="34:35" x14ac:dyDescent="0.25">
      <c r="AH180" s="8" t="s">
        <v>90</v>
      </c>
      <c r="AI180" s="9" t="s">
        <v>219</v>
      </c>
    </row>
    <row r="181" spans="34:35" x14ac:dyDescent="0.25">
      <c r="AH181" s="10" t="s">
        <v>136</v>
      </c>
      <c r="AI181" s="9" t="s">
        <v>219</v>
      </c>
    </row>
    <row r="182" spans="34:35" x14ac:dyDescent="0.25">
      <c r="AH182" s="8" t="s">
        <v>97</v>
      </c>
      <c r="AI182" s="9" t="s">
        <v>219</v>
      </c>
    </row>
    <row r="183" spans="34:35" x14ac:dyDescent="0.25">
      <c r="AH183" s="8" t="s">
        <v>104</v>
      </c>
      <c r="AI183" s="9" t="s">
        <v>219</v>
      </c>
    </row>
    <row r="184" spans="34:35" x14ac:dyDescent="0.25">
      <c r="AH184" s="8" t="s">
        <v>50</v>
      </c>
      <c r="AI184" s="9" t="s">
        <v>219</v>
      </c>
    </row>
    <row r="185" spans="34:35" x14ac:dyDescent="0.25">
      <c r="AH185" s="8" t="s">
        <v>14</v>
      </c>
      <c r="AI185" s="9" t="s">
        <v>219</v>
      </c>
    </row>
    <row r="186" spans="34:35" x14ac:dyDescent="0.25">
      <c r="AH186" s="8" t="s">
        <v>88</v>
      </c>
      <c r="AI186" s="9" t="s">
        <v>219</v>
      </c>
    </row>
    <row r="187" spans="34:35" x14ac:dyDescent="0.25">
      <c r="AH187" s="8" t="s">
        <v>93</v>
      </c>
      <c r="AI187" s="9" t="s">
        <v>219</v>
      </c>
    </row>
    <row r="188" spans="34:35" x14ac:dyDescent="0.25">
      <c r="AH188" s="8" t="s">
        <v>61</v>
      </c>
      <c r="AI188" s="9" t="s">
        <v>221</v>
      </c>
    </row>
    <row r="189" spans="34:35" x14ac:dyDescent="0.25">
      <c r="AH189" s="8" t="s">
        <v>68</v>
      </c>
      <c r="AI189" s="9" t="s">
        <v>219</v>
      </c>
    </row>
    <row r="190" spans="34:35" x14ac:dyDescent="0.25">
      <c r="AH190" s="8" t="s">
        <v>146</v>
      </c>
      <c r="AI190" s="9" t="s">
        <v>224</v>
      </c>
    </row>
    <row r="191" spans="34:35" x14ac:dyDescent="0.25">
      <c r="AH191" s="10" t="s">
        <v>108</v>
      </c>
      <c r="AI191" s="9" t="s">
        <v>224</v>
      </c>
    </row>
    <row r="192" spans="34:35" x14ac:dyDescent="0.25">
      <c r="AH192" s="8" t="s">
        <v>38</v>
      </c>
      <c r="AI192" s="9" t="s">
        <v>219</v>
      </c>
    </row>
    <row r="193" spans="34:35" x14ac:dyDescent="0.25">
      <c r="AH193" s="10" t="s">
        <v>92</v>
      </c>
      <c r="AI193" s="9" t="s">
        <v>224</v>
      </c>
    </row>
    <row r="194" spans="34:35" x14ac:dyDescent="0.25">
      <c r="AH194" s="8" t="s">
        <v>112</v>
      </c>
      <c r="AI194" s="9" t="s">
        <v>219</v>
      </c>
    </row>
    <row r="195" spans="34:35" x14ac:dyDescent="0.25">
      <c r="AH195" s="8" t="s">
        <v>103</v>
      </c>
      <c r="AI195" s="7" t="s">
        <v>235</v>
      </c>
    </row>
    <row r="196" spans="34:35" x14ac:dyDescent="0.25">
      <c r="AH196" s="8" t="s">
        <v>49</v>
      </c>
      <c r="AI196" s="9" t="s">
        <v>219</v>
      </c>
    </row>
    <row r="197" spans="34:35" x14ac:dyDescent="0.25">
      <c r="AH197" s="10" t="s">
        <v>200</v>
      </c>
      <c r="AI197" s="9" t="s">
        <v>224</v>
      </c>
    </row>
    <row r="198" spans="34:35" x14ac:dyDescent="0.25">
      <c r="AH198" s="8" t="s">
        <v>73</v>
      </c>
      <c r="AI198" s="9" t="s">
        <v>224</v>
      </c>
    </row>
    <row r="199" spans="34:35" x14ac:dyDescent="0.25">
      <c r="AH199" s="10" t="s">
        <v>134</v>
      </c>
      <c r="AI199" s="7" t="s">
        <v>235</v>
      </c>
    </row>
    <row r="200" spans="34:35" x14ac:dyDescent="0.25">
      <c r="AH200" s="10" t="s">
        <v>115</v>
      </c>
      <c r="AI200" s="9" t="s">
        <v>225</v>
      </c>
    </row>
    <row r="201" spans="34:35" x14ac:dyDescent="0.25">
      <c r="AH201" s="8" t="s">
        <v>109</v>
      </c>
      <c r="AI201" s="9" t="s">
        <v>224</v>
      </c>
    </row>
    <row r="202" spans="34:35" x14ac:dyDescent="0.25">
      <c r="AH202" s="8" t="s">
        <v>4</v>
      </c>
      <c r="AI202" s="9" t="s">
        <v>225</v>
      </c>
    </row>
    <row r="203" spans="34:35" x14ac:dyDescent="0.25">
      <c r="AH203" s="8" t="s">
        <v>53</v>
      </c>
      <c r="AI203" s="9" t="s">
        <v>225</v>
      </c>
    </row>
    <row r="204" spans="34:35" x14ac:dyDescent="0.25">
      <c r="AH204" s="8" t="s">
        <v>82</v>
      </c>
      <c r="AI204" s="9" t="s">
        <v>222</v>
      </c>
    </row>
    <row r="205" spans="34:35" x14ac:dyDescent="0.25">
      <c r="AH205" s="8" t="s">
        <v>107</v>
      </c>
      <c r="AI205" s="7" t="s">
        <v>235</v>
      </c>
    </row>
    <row r="206" spans="34:35" x14ac:dyDescent="0.25">
      <c r="AH206" s="8" t="s">
        <v>64</v>
      </c>
      <c r="AI206" s="9" t="s">
        <v>222</v>
      </c>
    </row>
  </sheetData>
  <sortState xmlns:xlrd2="http://schemas.microsoft.com/office/spreadsheetml/2017/richdata2" ref="D2:E22">
    <sortCondition ref="E2:E22"/>
    <sortCondition ref="D2:D22"/>
  </sortState>
  <pageMargins left="0.7" right="0.7" top="0.75" bottom="0.75" header="0.3" footer="0.3"/>
  <pageSetup orientation="portrait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D49F7-67C1-4FC4-A30D-7FD9ADB6378B}">
  <dimension ref="A1:S427"/>
  <sheetViews>
    <sheetView tabSelected="1" zoomScaleNormal="100" workbookViewId="0">
      <selection activeCell="J15" sqref="J15"/>
    </sheetView>
  </sheetViews>
  <sheetFormatPr defaultRowHeight="15" x14ac:dyDescent="0.25"/>
  <cols>
    <col min="1" max="1" width="14.42578125" customWidth="1"/>
    <col min="2" max="2" width="16.140625" bestFit="1" customWidth="1"/>
    <col min="3" max="3" width="17.5703125" bestFit="1" customWidth="1"/>
    <col min="4" max="4" width="18.85546875" bestFit="1" customWidth="1"/>
    <col min="5" max="5" width="12.5703125" bestFit="1" customWidth="1"/>
    <col min="6" max="6" width="11.42578125" bestFit="1" customWidth="1"/>
    <col min="7" max="7" width="11.85546875" bestFit="1" customWidth="1"/>
    <col min="8" max="8" width="11.28515625" bestFit="1" customWidth="1"/>
    <col min="9" max="9" width="10.7109375" customWidth="1"/>
    <col min="12" max="12" width="46.42578125" customWidth="1"/>
    <col min="13" max="13" width="34.5703125" customWidth="1"/>
    <col min="18" max="18" width="43.140625" customWidth="1"/>
    <col min="19" max="19" width="40.28515625" customWidth="1"/>
  </cols>
  <sheetData>
    <row r="1" spans="1:19" x14ac:dyDescent="0.25">
      <c r="K1" s="20" t="s">
        <v>1059</v>
      </c>
      <c r="L1" s="20"/>
      <c r="M1" t="s">
        <v>1051</v>
      </c>
      <c r="N1" s="12">
        <f>MATCH(M1,A2:I2,0)</f>
        <v>2</v>
      </c>
    </row>
    <row r="2" spans="1:19" x14ac:dyDescent="0.25">
      <c r="A2" t="s">
        <v>1053</v>
      </c>
      <c r="B2" t="s">
        <v>1051</v>
      </c>
      <c r="C2" t="s">
        <v>1058</v>
      </c>
      <c r="D2" t="s">
        <v>1061</v>
      </c>
      <c r="E2" t="s">
        <v>1052</v>
      </c>
      <c r="F2" t="s">
        <v>1050</v>
      </c>
      <c r="G2" t="s">
        <v>183</v>
      </c>
      <c r="H2" t="s">
        <v>184</v>
      </c>
      <c r="I2" t="s">
        <v>185</v>
      </c>
      <c r="K2" s="17" t="s">
        <v>226</v>
      </c>
      <c r="L2" s="17" t="s">
        <v>1056</v>
      </c>
      <c r="M2" s="17" t="s">
        <v>1057</v>
      </c>
      <c r="Q2" t="s">
        <v>226</v>
      </c>
      <c r="R2" t="s">
        <v>237</v>
      </c>
      <c r="S2" t="s">
        <v>238</v>
      </c>
    </row>
    <row r="3" spans="1:19" x14ac:dyDescent="0.25">
      <c r="A3">
        <v>8237</v>
      </c>
      <c r="B3">
        <v>158</v>
      </c>
      <c r="C3">
        <v>658</v>
      </c>
      <c r="D3">
        <v>2142</v>
      </c>
      <c r="E3">
        <v>1666</v>
      </c>
      <c r="F3">
        <v>1641</v>
      </c>
      <c r="G3">
        <v>379</v>
      </c>
      <c r="H3">
        <v>4273</v>
      </c>
      <c r="I3">
        <v>12035</v>
      </c>
      <c r="K3" s="18" cm="1">
        <f t="array" ref="K3:K160">_xlfn.CHOOSECOLS(Rxn_comparison[],N1)</f>
        <v>158</v>
      </c>
      <c r="L3" s="18" t="str">
        <f>VLOOKUP(K3,Rxn_dict[],2)</f>
        <v>['ATP', 'UMP']</v>
      </c>
      <c r="M3" s="18" t="str">
        <f>VLOOKUP(K3,Rxn_dict[],3)</f>
        <v>['ADP', 'UDP']</v>
      </c>
      <c r="Q3">
        <v>0</v>
      </c>
      <c r="R3" s="16" t="s">
        <v>1060</v>
      </c>
      <c r="S3" s="16" t="s">
        <v>1060</v>
      </c>
    </row>
    <row r="4" spans="1:19" x14ac:dyDescent="0.25">
      <c r="A4">
        <v>332</v>
      </c>
      <c r="B4">
        <v>177</v>
      </c>
      <c r="C4">
        <v>430</v>
      </c>
      <c r="D4">
        <v>9372</v>
      </c>
      <c r="E4">
        <v>2749</v>
      </c>
      <c r="F4">
        <v>127</v>
      </c>
      <c r="G4">
        <v>2571</v>
      </c>
      <c r="H4">
        <v>7606</v>
      </c>
      <c r="I4">
        <v>3104</v>
      </c>
      <c r="K4" s="18">
        <v>177</v>
      </c>
      <c r="L4" s="18" t="str">
        <f>VLOOKUP(K4,Rxn_dict[],2)</f>
        <v>['Orthophosphate', 'Diphosphate', 'S-Adenosyl-L-methionine']</v>
      </c>
      <c r="M4" s="18" t="str">
        <f>VLOOKUP(K4,Rxn_dict[],3)</f>
        <v>['ATP', 'L-Methionine']</v>
      </c>
      <c r="Q4">
        <v>4</v>
      </c>
      <c r="R4" t="s">
        <v>539</v>
      </c>
      <c r="S4" t="s">
        <v>540</v>
      </c>
    </row>
    <row r="5" spans="1:19" x14ac:dyDescent="0.25">
      <c r="A5">
        <v>200</v>
      </c>
      <c r="B5">
        <v>189</v>
      </c>
      <c r="C5">
        <v>3659</v>
      </c>
      <c r="D5">
        <v>3321</v>
      </c>
      <c r="E5">
        <v>1967</v>
      </c>
      <c r="F5">
        <v>3035</v>
      </c>
      <c r="G5">
        <v>2570</v>
      </c>
      <c r="H5">
        <v>4120</v>
      </c>
      <c r="I5" s="16">
        <v>703</v>
      </c>
      <c r="K5" s="18">
        <v>189</v>
      </c>
      <c r="L5" s="18" t="str">
        <f>VLOOKUP(K5,Rxn_dict[],2)</f>
        <v>['ATP', 'Deamino-NAD+', 'Ammonia']</v>
      </c>
      <c r="M5" s="18" t="str">
        <f>VLOOKUP(K5,Rxn_dict[],3)</f>
        <v>['AMP', 'Diphosphate', 'NAD+']</v>
      </c>
      <c r="Q5">
        <v>14</v>
      </c>
      <c r="R5" t="s">
        <v>455</v>
      </c>
      <c r="S5" t="s">
        <v>456</v>
      </c>
    </row>
    <row r="6" spans="1:19" x14ac:dyDescent="0.25">
      <c r="A6">
        <v>8245</v>
      </c>
      <c r="B6">
        <v>200</v>
      </c>
      <c r="C6">
        <v>3663</v>
      </c>
      <c r="D6">
        <v>9030</v>
      </c>
      <c r="E6">
        <v>1819</v>
      </c>
      <c r="F6">
        <v>11945</v>
      </c>
      <c r="G6">
        <v>1468</v>
      </c>
      <c r="I6">
        <v>1000</v>
      </c>
      <c r="K6" s="18">
        <v>200</v>
      </c>
      <c r="L6" s="18" t="str">
        <f>VLOOKUP(K6,Rxn_dict[],2)</f>
        <v>['ATP', 'Pyruvate']</v>
      </c>
      <c r="M6" s="18" t="str">
        <f>VLOOKUP(K6,Rxn_dict[],3)</f>
        <v>['ADP', 'Phosphoenolpyruvate']</v>
      </c>
      <c r="Q6">
        <v>36</v>
      </c>
      <c r="R6" t="s">
        <v>541</v>
      </c>
      <c r="S6" t="s">
        <v>542</v>
      </c>
    </row>
    <row r="7" spans="1:19" x14ac:dyDescent="0.25">
      <c r="A7">
        <v>2094</v>
      </c>
      <c r="B7">
        <v>332</v>
      </c>
      <c r="C7">
        <v>1056</v>
      </c>
      <c r="D7">
        <v>104</v>
      </c>
      <c r="E7">
        <v>2100</v>
      </c>
      <c r="F7">
        <v>4534</v>
      </c>
      <c r="G7">
        <v>12449</v>
      </c>
      <c r="K7" s="18">
        <v>332</v>
      </c>
      <c r="L7" s="18" t="str">
        <f>VLOOKUP(K7,Rxn_dict[],2)</f>
        <v>['ATP', 'GMP']</v>
      </c>
      <c r="M7" s="18" t="str">
        <f>VLOOKUP(K7,Rxn_dict[],3)</f>
        <v>['ADP', 'GDP']</v>
      </c>
      <c r="Q7">
        <v>84</v>
      </c>
      <c r="R7" t="s">
        <v>543</v>
      </c>
      <c r="S7" t="s">
        <v>544</v>
      </c>
    </row>
    <row r="8" spans="1:19" x14ac:dyDescent="0.25">
      <c r="A8">
        <v>1229</v>
      </c>
      <c r="B8">
        <v>375</v>
      </c>
      <c r="C8">
        <v>2918</v>
      </c>
      <c r="D8">
        <v>3596</v>
      </c>
      <c r="E8">
        <v>765</v>
      </c>
      <c r="F8">
        <v>4963</v>
      </c>
      <c r="G8">
        <v>12429</v>
      </c>
      <c r="K8" s="18">
        <v>375</v>
      </c>
      <c r="L8" s="18" t="str">
        <f>VLOOKUP(K8,Rxn_dict[],2)</f>
        <v>['dATP', 'DNA']</v>
      </c>
      <c r="M8" s="18" t="str">
        <f>VLOOKUP(K8,Rxn_dict[],3)</f>
        <v>['Diphosphate', 'DNA']</v>
      </c>
      <c r="Q8">
        <v>86</v>
      </c>
      <c r="R8" t="s">
        <v>297</v>
      </c>
      <c r="S8" t="s">
        <v>298</v>
      </c>
    </row>
    <row r="9" spans="1:19" x14ac:dyDescent="0.25">
      <c r="A9">
        <v>1665</v>
      </c>
      <c r="B9">
        <v>376</v>
      </c>
      <c r="C9">
        <v>9030</v>
      </c>
      <c r="D9">
        <v>1132</v>
      </c>
      <c r="E9">
        <v>2087</v>
      </c>
      <c r="F9">
        <v>10120</v>
      </c>
      <c r="G9">
        <v>1021</v>
      </c>
      <c r="K9" s="18">
        <v>376</v>
      </c>
      <c r="L9" s="18" t="str">
        <f>VLOOKUP(K9,Rxn_dict[],2)</f>
        <v>['dGTP', 'DNA']</v>
      </c>
      <c r="M9" s="18" t="str">
        <f>VLOOKUP(K9,Rxn_dict[],3)</f>
        <v>['Diphosphate', 'DNA']</v>
      </c>
      <c r="Q9">
        <v>104</v>
      </c>
      <c r="R9" t="s">
        <v>385</v>
      </c>
      <c r="S9" t="s">
        <v>386</v>
      </c>
    </row>
    <row r="10" spans="1:19" x14ac:dyDescent="0.25">
      <c r="A10">
        <v>1518</v>
      </c>
      <c r="B10">
        <v>377</v>
      </c>
      <c r="C10">
        <v>1015</v>
      </c>
      <c r="D10">
        <v>3940</v>
      </c>
      <c r="E10">
        <v>1968</v>
      </c>
      <c r="F10">
        <v>5032</v>
      </c>
      <c r="G10">
        <v>11143</v>
      </c>
      <c r="K10" s="18">
        <v>377</v>
      </c>
      <c r="L10" s="18" t="str">
        <f>VLOOKUP(K10,Rxn_dict[],2)</f>
        <v>['dCTP', 'DNA']</v>
      </c>
      <c r="M10" s="18" t="str">
        <f>VLOOKUP(K10,Rxn_dict[],3)</f>
        <v>['Diphosphate', 'DNA']</v>
      </c>
      <c r="Q10">
        <v>127</v>
      </c>
      <c r="R10" t="s">
        <v>301</v>
      </c>
      <c r="S10" t="s">
        <v>302</v>
      </c>
    </row>
    <row r="11" spans="1:19" x14ac:dyDescent="0.25">
      <c r="A11">
        <v>1132</v>
      </c>
      <c r="B11">
        <v>378</v>
      </c>
      <c r="C11">
        <v>2235</v>
      </c>
      <c r="D11">
        <v>189</v>
      </c>
      <c r="E11">
        <v>2239</v>
      </c>
      <c r="F11">
        <v>253</v>
      </c>
      <c r="G11">
        <v>7770</v>
      </c>
      <c r="K11" s="18">
        <v>378</v>
      </c>
      <c r="L11" s="18" t="str">
        <f>VLOOKUP(K11,Rxn_dict[],2)</f>
        <v>['dTTP', 'DNA']</v>
      </c>
      <c r="M11" s="18" t="str">
        <f>VLOOKUP(K11,Rxn_dict[],3)</f>
        <v>['Diphosphate', 'DNA']</v>
      </c>
      <c r="Q11">
        <v>130</v>
      </c>
      <c r="R11" t="s">
        <v>545</v>
      </c>
      <c r="S11" t="s">
        <v>546</v>
      </c>
    </row>
    <row r="12" spans="1:19" x14ac:dyDescent="0.25">
      <c r="A12">
        <v>2098</v>
      </c>
      <c r="B12">
        <v>382</v>
      </c>
      <c r="C12">
        <v>1829</v>
      </c>
      <c r="D12">
        <v>658</v>
      </c>
      <c r="E12">
        <v>1058</v>
      </c>
      <c r="F12">
        <v>4970</v>
      </c>
      <c r="G12">
        <v>12433</v>
      </c>
      <c r="K12" s="18">
        <v>382</v>
      </c>
      <c r="L12" s="18" t="str">
        <f>VLOOKUP(K12,Rxn_dict[],2)</f>
        <v>['NAD+', 'DNA(n)', "5'-Phospho-DNA(m)"]</v>
      </c>
      <c r="M12" s="18" t="str">
        <f>VLOOKUP(K12,Rxn_dict[],3)</f>
        <v>['AMP', 'Nicotinamide D-ribonucleotide', 'DNA(n+m)']</v>
      </c>
      <c r="Q12">
        <v>137</v>
      </c>
      <c r="R12" t="s">
        <v>393</v>
      </c>
      <c r="S12" t="s">
        <v>394</v>
      </c>
    </row>
    <row r="13" spans="1:19" x14ac:dyDescent="0.25">
      <c r="A13">
        <v>2090</v>
      </c>
      <c r="B13">
        <v>430</v>
      </c>
      <c r="C13">
        <v>1625</v>
      </c>
      <c r="D13">
        <v>959</v>
      </c>
      <c r="E13">
        <v>2325</v>
      </c>
      <c r="F13">
        <v>1830</v>
      </c>
      <c r="G13">
        <v>2569</v>
      </c>
      <c r="K13" s="18">
        <v>430</v>
      </c>
      <c r="L13" s="18" t="str">
        <f>VLOOKUP(K13,Rxn_dict[],2)</f>
        <v>['GTP', 'Pyruvate']</v>
      </c>
      <c r="M13" s="18" t="str">
        <f>VLOOKUP(K13,Rxn_dict[],3)</f>
        <v>['GDP', 'Phosphoenolpyruvate']</v>
      </c>
      <c r="Q13">
        <v>156</v>
      </c>
      <c r="R13" t="s">
        <v>525</v>
      </c>
      <c r="S13" t="s">
        <v>526</v>
      </c>
    </row>
    <row r="14" spans="1:19" x14ac:dyDescent="0.25">
      <c r="A14">
        <v>2568</v>
      </c>
      <c r="B14">
        <v>435</v>
      </c>
      <c r="C14">
        <v>3038</v>
      </c>
      <c r="D14">
        <v>1056</v>
      </c>
      <c r="E14">
        <v>1799</v>
      </c>
      <c r="F14">
        <v>4536</v>
      </c>
      <c r="G14">
        <v>10517</v>
      </c>
      <c r="K14" s="18">
        <v>435</v>
      </c>
      <c r="L14" s="18" t="str">
        <f>VLOOKUP(K14,Rxn_dict[],2)</f>
        <v>['ATP', 'RNA']</v>
      </c>
      <c r="M14" s="18" t="str">
        <f>VLOOKUP(K14,Rxn_dict[],3)</f>
        <v>['Diphosphate', 'RNA']</v>
      </c>
      <c r="Q14">
        <v>158</v>
      </c>
      <c r="R14" t="s">
        <v>315</v>
      </c>
      <c r="S14" t="s">
        <v>316</v>
      </c>
    </row>
    <row r="15" spans="1:19" x14ac:dyDescent="0.25">
      <c r="A15">
        <v>189</v>
      </c>
      <c r="B15">
        <v>441</v>
      </c>
      <c r="C15">
        <v>2236</v>
      </c>
      <c r="D15">
        <v>158</v>
      </c>
      <c r="E15">
        <v>156</v>
      </c>
      <c r="F15">
        <v>7599</v>
      </c>
      <c r="G15">
        <v>7771</v>
      </c>
      <c r="K15" s="18">
        <v>441</v>
      </c>
      <c r="L15" s="18" t="str">
        <f>VLOOKUP(K15,Rxn_dict[],2)</f>
        <v>['GTP', 'RNA']</v>
      </c>
      <c r="M15" s="18" t="str">
        <f>VLOOKUP(K15,Rxn_dict[],3)</f>
        <v>['Diphosphate', 'RNA']</v>
      </c>
      <c r="Q15">
        <v>161</v>
      </c>
      <c r="R15" t="s">
        <v>343</v>
      </c>
      <c r="S15" t="s">
        <v>344</v>
      </c>
    </row>
    <row r="16" spans="1:19" x14ac:dyDescent="0.25">
      <c r="A16">
        <v>1070</v>
      </c>
      <c r="B16">
        <v>442</v>
      </c>
      <c r="C16">
        <v>177</v>
      </c>
      <c r="D16">
        <v>1843</v>
      </c>
      <c r="E16">
        <v>2059</v>
      </c>
      <c r="F16">
        <v>272</v>
      </c>
      <c r="G16">
        <v>1623</v>
      </c>
      <c r="K16" s="18">
        <v>442</v>
      </c>
      <c r="L16" s="18" t="str">
        <f>VLOOKUP(K16,Rxn_dict[],2)</f>
        <v>['CTP', 'RNA']</v>
      </c>
      <c r="M16" s="18" t="str">
        <f>VLOOKUP(K16,Rxn_dict[],3)</f>
        <v>['Diphosphate', 'RNA']</v>
      </c>
      <c r="Q16">
        <v>162</v>
      </c>
      <c r="R16" t="s">
        <v>547</v>
      </c>
      <c r="S16" t="s">
        <v>548</v>
      </c>
    </row>
    <row r="17" spans="1:19" x14ac:dyDescent="0.25">
      <c r="A17">
        <v>1056</v>
      </c>
      <c r="B17">
        <v>443</v>
      </c>
      <c r="C17">
        <v>769</v>
      </c>
      <c r="D17">
        <v>332</v>
      </c>
      <c r="E17">
        <v>1569</v>
      </c>
      <c r="F17">
        <v>844</v>
      </c>
      <c r="K17" s="18">
        <v>443</v>
      </c>
      <c r="L17" s="18" t="str">
        <f>VLOOKUP(K17,Rxn_dict[],2)</f>
        <v>['UTP', 'RNA']</v>
      </c>
      <c r="M17" s="18" t="str">
        <f>VLOOKUP(K17,Rxn_dict[],3)</f>
        <v>['Diphosphate', 'RNA']</v>
      </c>
      <c r="Q17">
        <v>164</v>
      </c>
      <c r="R17" t="s">
        <v>954</v>
      </c>
      <c r="S17" t="s">
        <v>955</v>
      </c>
    </row>
    <row r="18" spans="1:19" x14ac:dyDescent="0.25">
      <c r="A18">
        <v>9372</v>
      </c>
      <c r="B18">
        <v>444</v>
      </c>
      <c r="C18">
        <v>11029</v>
      </c>
      <c r="D18">
        <v>1518</v>
      </c>
      <c r="E18">
        <v>1220</v>
      </c>
      <c r="F18">
        <v>1395</v>
      </c>
      <c r="K18" s="18">
        <v>444</v>
      </c>
      <c r="L18" s="18" t="str">
        <f>VLOOKUP(K18,Rxn_dict[],2)</f>
        <v>['Nucleoside triphosphate', 'RNA']</v>
      </c>
      <c r="M18" s="18" t="str">
        <f>VLOOKUP(K18,Rxn_dict[],3)</f>
        <v>['Diphosphate', 'RNA']</v>
      </c>
      <c r="Q18">
        <v>177</v>
      </c>
      <c r="R18" t="s">
        <v>501</v>
      </c>
      <c r="S18" t="s">
        <v>502</v>
      </c>
    </row>
    <row r="19" spans="1:19" x14ac:dyDescent="0.25">
      <c r="A19">
        <v>1858</v>
      </c>
      <c r="B19">
        <v>512</v>
      </c>
      <c r="C19">
        <v>442</v>
      </c>
      <c r="D19">
        <v>2090</v>
      </c>
      <c r="E19">
        <v>511</v>
      </c>
      <c r="F19">
        <v>4968</v>
      </c>
      <c r="K19" s="18">
        <v>512</v>
      </c>
      <c r="L19" s="18" t="str">
        <f>VLOOKUP(K19,Rxn_dict[],2)</f>
        <v>['ATP', 'CMP']</v>
      </c>
      <c r="M19" s="18" t="str">
        <f>VLOOKUP(K19,Rxn_dict[],3)</f>
        <v>['ADP', 'CDP']</v>
      </c>
      <c r="Q19">
        <v>183</v>
      </c>
      <c r="R19" t="s">
        <v>245</v>
      </c>
      <c r="S19" t="s">
        <v>246</v>
      </c>
    </row>
    <row r="20" spans="1:19" x14ac:dyDescent="0.25">
      <c r="A20">
        <v>8238</v>
      </c>
      <c r="B20">
        <v>572</v>
      </c>
      <c r="C20">
        <v>770</v>
      </c>
      <c r="D20">
        <v>4779</v>
      </c>
      <c r="E20">
        <v>2331</v>
      </c>
      <c r="F20">
        <v>11891</v>
      </c>
      <c r="K20" s="18">
        <v>572</v>
      </c>
      <c r="L20" s="18" t="str">
        <f>VLOOKUP(K20,Rxn_dict[],2)</f>
        <v>['CTP', 'Pyruvate']</v>
      </c>
      <c r="M20" s="18" t="str">
        <f>VLOOKUP(K20,Rxn_dict[],3)</f>
        <v>['CDP', 'Phosphoenolpyruvate']</v>
      </c>
      <c r="Q20">
        <v>188</v>
      </c>
      <c r="R20" t="s">
        <v>956</v>
      </c>
      <c r="S20" t="s">
        <v>957</v>
      </c>
    </row>
    <row r="21" spans="1:19" x14ac:dyDescent="0.25">
      <c r="A21">
        <v>1015</v>
      </c>
      <c r="B21">
        <v>658</v>
      </c>
      <c r="C21">
        <v>3596</v>
      </c>
      <c r="D21">
        <v>200</v>
      </c>
      <c r="E21">
        <v>11896</v>
      </c>
      <c r="F21">
        <v>4355</v>
      </c>
      <c r="K21" s="18">
        <v>658</v>
      </c>
      <c r="L21" s="18" t="str">
        <f>VLOOKUP(K21,Rxn_dict[],2)</f>
        <v>['2-Phospho-D-glycerate']</v>
      </c>
      <c r="M21" s="18" t="str">
        <f>VLOOKUP(K21,Rxn_dict[],3)</f>
        <v>['Phosphoenolpyruvate']</v>
      </c>
      <c r="Q21">
        <v>189</v>
      </c>
      <c r="R21" t="s">
        <v>387</v>
      </c>
      <c r="S21" t="s">
        <v>388</v>
      </c>
    </row>
    <row r="22" spans="1:19" x14ac:dyDescent="0.25">
      <c r="A22">
        <v>1138</v>
      </c>
      <c r="B22">
        <v>659</v>
      </c>
      <c r="C22">
        <v>441</v>
      </c>
      <c r="D22">
        <v>2568</v>
      </c>
      <c r="E22">
        <v>2691</v>
      </c>
      <c r="F22">
        <v>2788</v>
      </c>
      <c r="K22" s="18">
        <v>659</v>
      </c>
      <c r="L22" s="18" t="str">
        <f>VLOOKUP(K22,Rxn_dict[],2)</f>
        <v>['UTP', 'Pyruvate']</v>
      </c>
      <c r="M22" s="18" t="str">
        <f>VLOOKUP(K22,Rxn_dict[],3)</f>
        <v>['UDP', 'Phosphoenolpyruvate']</v>
      </c>
      <c r="Q22">
        <v>190</v>
      </c>
      <c r="R22" t="s">
        <v>279</v>
      </c>
      <c r="S22" t="s">
        <v>280</v>
      </c>
    </row>
    <row r="23" spans="1:19" x14ac:dyDescent="0.25">
      <c r="A23">
        <v>1829</v>
      </c>
      <c r="B23">
        <v>724</v>
      </c>
      <c r="C23">
        <v>3321</v>
      </c>
      <c r="D23">
        <v>1070</v>
      </c>
      <c r="E23">
        <v>2029</v>
      </c>
      <c r="F23">
        <v>4725</v>
      </c>
      <c r="K23" s="18">
        <v>724</v>
      </c>
      <c r="L23" s="18" t="str">
        <f>VLOOKUP(K23,Rxn_dict[],2)</f>
        <v>['ITP', 'Pyruvate']</v>
      </c>
      <c r="M23" s="18" t="str">
        <f>VLOOKUP(K23,Rxn_dict[],3)</f>
        <v>['IDP', 'Phosphoenolpyruvate']</v>
      </c>
      <c r="Q23">
        <v>192</v>
      </c>
      <c r="R23" t="s">
        <v>537</v>
      </c>
      <c r="S23" t="s">
        <v>538</v>
      </c>
    </row>
    <row r="24" spans="1:19" x14ac:dyDescent="0.25">
      <c r="A24">
        <v>9030</v>
      </c>
      <c r="B24">
        <v>900</v>
      </c>
      <c r="C24">
        <v>8218</v>
      </c>
      <c r="D24">
        <v>3270</v>
      </c>
      <c r="E24">
        <v>1227</v>
      </c>
      <c r="F24">
        <v>7602</v>
      </c>
      <c r="K24" s="18">
        <v>900</v>
      </c>
      <c r="L24" s="18" t="str">
        <f>VLOOKUP(K24,Rxn_dict[],2)</f>
        <v>['L-Cysteine', 'Glutathione', 'NADP+']</v>
      </c>
      <c r="M24" s="18" t="str">
        <f>VLOOKUP(K24,Rxn_dict[],3)</f>
        <v>['S-Glutathionyl-L-cysteine', 'NADPH']</v>
      </c>
      <c r="Q24">
        <v>200</v>
      </c>
      <c r="R24" t="s">
        <v>425</v>
      </c>
      <c r="S24" t="s">
        <v>426</v>
      </c>
    </row>
    <row r="25" spans="1:19" x14ac:dyDescent="0.25">
      <c r="A25">
        <v>3940</v>
      </c>
      <c r="B25">
        <v>1015</v>
      </c>
      <c r="C25">
        <v>3657</v>
      </c>
      <c r="D25">
        <v>771</v>
      </c>
      <c r="E25">
        <v>1800</v>
      </c>
      <c r="F25">
        <v>5197</v>
      </c>
      <c r="K25" s="18">
        <v>1015</v>
      </c>
      <c r="L25" s="18" t="str">
        <f>VLOOKUP(K25,Rxn_dict[],2)</f>
        <v>['D-Glyceraldehyde 3-phosphate']</v>
      </c>
      <c r="M25" s="18" t="str">
        <f>VLOOKUP(K25,Rxn_dict[],3)</f>
        <v>['Glycerone phosphate']</v>
      </c>
      <c r="Q25">
        <v>230</v>
      </c>
      <c r="R25" t="s">
        <v>395</v>
      </c>
      <c r="S25" t="s">
        <v>396</v>
      </c>
    </row>
    <row r="26" spans="1:19" x14ac:dyDescent="0.25">
      <c r="A26">
        <v>658</v>
      </c>
      <c r="B26">
        <v>1056</v>
      </c>
      <c r="C26">
        <v>724</v>
      </c>
      <c r="D26">
        <v>1229</v>
      </c>
      <c r="E26">
        <v>1664</v>
      </c>
      <c r="F26">
        <v>379</v>
      </c>
      <c r="K26" s="18">
        <v>1056</v>
      </c>
      <c r="L26" s="18" t="str">
        <f>VLOOKUP(K26,Rxn_dict[],2)</f>
        <v>['D-Ribose 5-phosphate']</v>
      </c>
      <c r="M26" s="18" t="str">
        <f>VLOOKUP(K26,Rxn_dict[],3)</f>
        <v>['D-Ribulose 5-phosphate']</v>
      </c>
      <c r="Q26">
        <v>253</v>
      </c>
      <c r="R26" t="s">
        <v>549</v>
      </c>
      <c r="S26" t="s">
        <v>550</v>
      </c>
    </row>
    <row r="27" spans="1:19" x14ac:dyDescent="0.25">
      <c r="A27">
        <v>177</v>
      </c>
      <c r="B27">
        <v>1068</v>
      </c>
      <c r="C27">
        <v>5578</v>
      </c>
      <c r="D27">
        <v>8237</v>
      </c>
      <c r="E27">
        <v>2323</v>
      </c>
      <c r="F27">
        <v>10949</v>
      </c>
      <c r="K27" s="18">
        <v>1068</v>
      </c>
      <c r="L27" s="18" t="str">
        <f>VLOOKUP(K27,Rxn_dict[],2)</f>
        <v>['D-Fructose 1,6-bisphosphate']</v>
      </c>
      <c r="M27" s="18" t="str">
        <f>VLOOKUP(K27,Rxn_dict[],3)</f>
        <v>['Glycerone phosphate', 'D-Glyceraldehyde 3-phosphate']</v>
      </c>
      <c r="Q27">
        <v>256</v>
      </c>
      <c r="R27" t="s">
        <v>551</v>
      </c>
      <c r="S27" t="s">
        <v>552</v>
      </c>
    </row>
    <row r="28" spans="1:19" x14ac:dyDescent="0.25">
      <c r="A28">
        <v>2142</v>
      </c>
      <c r="B28">
        <v>1070</v>
      </c>
      <c r="C28">
        <v>3270</v>
      </c>
      <c r="D28">
        <v>1057</v>
      </c>
      <c r="E28">
        <v>183</v>
      </c>
      <c r="F28">
        <v>1870</v>
      </c>
      <c r="K28" s="18">
        <v>1070</v>
      </c>
      <c r="L28" s="18" t="str">
        <f>VLOOKUP(K28,Rxn_dict[],2)</f>
        <v>['beta-D-Fructose 1,6-bisphosphate']</v>
      </c>
      <c r="M28" s="18" t="str">
        <f>VLOOKUP(K28,Rxn_dict[],3)</f>
        <v>['Glycerone phosphate', 'D-Glyceraldehyde 3-phosphate']</v>
      </c>
      <c r="Q28">
        <v>260</v>
      </c>
      <c r="R28" t="s">
        <v>553</v>
      </c>
      <c r="S28" t="s">
        <v>554</v>
      </c>
    </row>
    <row r="29" spans="1:19" x14ac:dyDescent="0.25">
      <c r="A29">
        <v>3596</v>
      </c>
      <c r="B29">
        <v>1132</v>
      </c>
      <c r="C29">
        <v>3940</v>
      </c>
      <c r="D29">
        <v>2235</v>
      </c>
      <c r="E29">
        <v>1655</v>
      </c>
      <c r="F29">
        <v>2101</v>
      </c>
      <c r="K29" s="18">
        <v>1132</v>
      </c>
      <c r="L29" s="18" t="str">
        <f>VLOOKUP(K29,Rxn_dict[],2)</f>
        <v>['IMP', 'Diphosphate']</v>
      </c>
      <c r="M29" s="18" t="str">
        <f>VLOOKUP(K29,Rxn_dict[],3)</f>
        <v>['Hypoxanthine', '5-Phospho-alpha-D-ribose 1-diphosphate']</v>
      </c>
      <c r="Q29">
        <v>272</v>
      </c>
      <c r="R29" t="s">
        <v>555</v>
      </c>
      <c r="S29" t="s">
        <v>556</v>
      </c>
    </row>
    <row r="30" spans="1:19" x14ac:dyDescent="0.25">
      <c r="A30">
        <v>430</v>
      </c>
      <c r="B30">
        <v>1138</v>
      </c>
      <c r="C30">
        <v>900</v>
      </c>
      <c r="D30">
        <v>1829</v>
      </c>
      <c r="E30">
        <v>2719</v>
      </c>
      <c r="F30">
        <v>1130</v>
      </c>
      <c r="K30" s="18">
        <v>1138</v>
      </c>
      <c r="L30" s="18" t="str">
        <f>VLOOKUP(K30,Rxn_dict[],2)</f>
        <v>['dATP', 'Pyruvate']</v>
      </c>
      <c r="M30" s="18" t="str">
        <f>VLOOKUP(K30,Rxn_dict[],3)</f>
        <v>['dADP', 'Phosphoenolpyruvate']</v>
      </c>
      <c r="Q30">
        <v>289</v>
      </c>
      <c r="R30" t="s">
        <v>523</v>
      </c>
      <c r="S30" t="s">
        <v>524</v>
      </c>
    </row>
    <row r="31" spans="1:19" x14ac:dyDescent="0.25">
      <c r="A31">
        <v>158</v>
      </c>
      <c r="B31">
        <v>1229</v>
      </c>
      <c r="C31">
        <v>332</v>
      </c>
      <c r="D31">
        <v>2094</v>
      </c>
      <c r="E31">
        <v>192</v>
      </c>
      <c r="F31">
        <v>5629</v>
      </c>
      <c r="K31" s="18">
        <v>1229</v>
      </c>
      <c r="L31" s="18" t="str">
        <f>VLOOKUP(K31,Rxn_dict[],2)</f>
        <v>['GMP', 'Diphosphate']</v>
      </c>
      <c r="M31" s="18" t="str">
        <f>VLOOKUP(K31,Rxn_dict[],3)</f>
        <v>['Guanine', '5-Phospho-alpha-D-ribose 1-diphosphate']</v>
      </c>
      <c r="Q31">
        <v>291</v>
      </c>
      <c r="R31" t="s">
        <v>498</v>
      </c>
      <c r="S31" t="s">
        <v>499</v>
      </c>
    </row>
    <row r="32" spans="1:19" x14ac:dyDescent="0.25">
      <c r="A32">
        <v>512</v>
      </c>
      <c r="B32">
        <v>1518</v>
      </c>
      <c r="C32">
        <v>2320</v>
      </c>
      <c r="D32">
        <v>1665</v>
      </c>
      <c r="E32">
        <v>2326</v>
      </c>
      <c r="F32">
        <v>7601</v>
      </c>
      <c r="K32" s="18">
        <v>1518</v>
      </c>
      <c r="L32" s="18" t="str">
        <f>VLOOKUP(K32,Rxn_dict[],2)</f>
        <v>['2-Phospho-D-glycerate']</v>
      </c>
      <c r="M32" s="18" t="str">
        <f>VLOOKUP(K32,Rxn_dict[],3)</f>
        <v>['3-Phospho-D-glycerate']</v>
      </c>
      <c r="Q32">
        <v>310</v>
      </c>
      <c r="R32" t="s">
        <v>557</v>
      </c>
      <c r="S32" t="s">
        <v>558</v>
      </c>
    </row>
    <row r="33" spans="1:19" x14ac:dyDescent="0.25">
      <c r="A33">
        <v>1068</v>
      </c>
      <c r="B33">
        <v>1665</v>
      </c>
      <c r="C33">
        <v>959</v>
      </c>
      <c r="D33">
        <v>2098</v>
      </c>
      <c r="E33">
        <v>3346</v>
      </c>
      <c r="F33">
        <v>3503</v>
      </c>
      <c r="K33" s="18">
        <v>1665</v>
      </c>
      <c r="L33" s="18" t="str">
        <f>VLOOKUP(K33,Rxn_dict[],2)</f>
        <v>['ATP', 'dCMP']</v>
      </c>
      <c r="M33" s="18" t="str">
        <f>VLOOKUP(K33,Rxn_dict[],3)</f>
        <v>['ADP', 'dCDP']</v>
      </c>
      <c r="Q33">
        <v>315</v>
      </c>
      <c r="R33" t="s">
        <v>275</v>
      </c>
      <c r="S33" t="s">
        <v>276</v>
      </c>
    </row>
    <row r="34" spans="1:19" x14ac:dyDescent="0.25">
      <c r="B34">
        <v>1829</v>
      </c>
      <c r="C34">
        <v>3658</v>
      </c>
      <c r="D34">
        <v>430</v>
      </c>
      <c r="E34">
        <v>1061</v>
      </c>
      <c r="F34">
        <v>130</v>
      </c>
      <c r="K34" s="18">
        <v>1829</v>
      </c>
      <c r="L34" s="18" t="str">
        <f>VLOOKUP(K34,Rxn_dict[],2)</f>
        <v>['Sedoheptulose 1,7-bisphosphate']</v>
      </c>
      <c r="M34" s="18" t="str">
        <f>VLOOKUP(K34,Rxn_dict[],3)</f>
        <v>['Glycerone phosphate', 'D-Erythrose 4-phosphate']</v>
      </c>
      <c r="Q34">
        <v>332</v>
      </c>
      <c r="R34" t="s">
        <v>365</v>
      </c>
      <c r="S34" t="s">
        <v>366</v>
      </c>
    </row>
    <row r="35" spans="1:19" x14ac:dyDescent="0.25">
      <c r="B35">
        <v>1858</v>
      </c>
      <c r="C35">
        <v>10813</v>
      </c>
      <c r="D35">
        <v>1138</v>
      </c>
      <c r="E35">
        <v>2088</v>
      </c>
      <c r="F35">
        <v>2413</v>
      </c>
      <c r="K35" s="18">
        <v>1858</v>
      </c>
      <c r="L35" s="18" t="str">
        <f>VLOOKUP(K35,Rxn_dict[],2)</f>
        <v>['dGTP', 'Pyruvate']</v>
      </c>
      <c r="M35" s="18" t="str">
        <f>VLOOKUP(K35,Rxn_dict[],3)</f>
        <v>['dGDP', 'Phosphoenolpyruvate']</v>
      </c>
      <c r="Q35">
        <v>335</v>
      </c>
      <c r="R35" t="s">
        <v>559</v>
      </c>
      <c r="S35" t="s">
        <v>560</v>
      </c>
    </row>
    <row r="36" spans="1:19" x14ac:dyDescent="0.25">
      <c r="B36">
        <v>2016</v>
      </c>
      <c r="C36">
        <v>104</v>
      </c>
      <c r="E36">
        <v>2102</v>
      </c>
      <c r="F36">
        <v>12812</v>
      </c>
      <c r="K36" s="18">
        <v>2016</v>
      </c>
      <c r="L36" s="18" t="str">
        <f>VLOOKUP(K36,Rxn_dict[],2)</f>
        <v>['Thioredoxin', 'NADP+']</v>
      </c>
      <c r="M36" s="18" t="str">
        <f>VLOOKUP(K36,Rxn_dict[],3)</f>
        <v>['Thioredoxin disulfide', 'NADPH']</v>
      </c>
      <c r="Q36">
        <v>375</v>
      </c>
      <c r="R36" t="s">
        <v>561</v>
      </c>
      <c r="S36" t="s">
        <v>562</v>
      </c>
    </row>
    <row r="37" spans="1:19" x14ac:dyDescent="0.25">
      <c r="B37">
        <v>2090</v>
      </c>
      <c r="C37">
        <v>5635</v>
      </c>
      <c r="E37">
        <v>6520</v>
      </c>
      <c r="F37">
        <v>10122</v>
      </c>
      <c r="K37" s="18">
        <v>2090</v>
      </c>
      <c r="L37" s="18" t="str">
        <f>VLOOKUP(K37,Rxn_dict[],2)</f>
        <v>['ATP', 'dGMP']</v>
      </c>
      <c r="M37" s="18" t="str">
        <f>VLOOKUP(K37,Rxn_dict[],3)</f>
        <v>['ADP', 'dGDP']</v>
      </c>
      <c r="Q37">
        <v>376</v>
      </c>
      <c r="R37" t="s">
        <v>563</v>
      </c>
      <c r="S37" t="s">
        <v>562</v>
      </c>
    </row>
    <row r="38" spans="1:19" x14ac:dyDescent="0.25">
      <c r="B38">
        <v>2094</v>
      </c>
      <c r="C38">
        <v>378</v>
      </c>
      <c r="D38">
        <v>1015</v>
      </c>
      <c r="E38">
        <v>570</v>
      </c>
      <c r="F38">
        <v>10119</v>
      </c>
      <c r="K38" s="18">
        <v>2094</v>
      </c>
      <c r="L38" s="18" t="str">
        <f>VLOOKUP(K38,Rxn_dict[],2)</f>
        <v>['ATP', 'dTMP']</v>
      </c>
      <c r="M38" s="18" t="str">
        <f>VLOOKUP(K38,Rxn_dict[],3)</f>
        <v>['ADP', 'dTDP']</v>
      </c>
      <c r="Q38">
        <v>377</v>
      </c>
      <c r="R38" t="s">
        <v>564</v>
      </c>
      <c r="S38" t="s">
        <v>562</v>
      </c>
    </row>
    <row r="39" spans="1:19" x14ac:dyDescent="0.25">
      <c r="B39">
        <v>2098</v>
      </c>
      <c r="C39">
        <v>4773</v>
      </c>
      <c r="E39">
        <v>2705</v>
      </c>
      <c r="F39">
        <v>256</v>
      </c>
      <c r="K39" s="18">
        <v>2098</v>
      </c>
      <c r="L39" s="18" t="str">
        <f>VLOOKUP(K39,Rxn_dict[],2)</f>
        <v>['ATP', 'dUMP']</v>
      </c>
      <c r="M39" s="18" t="str">
        <f>VLOOKUP(K39,Rxn_dict[],3)</f>
        <v>['ADP', 'dUDP']</v>
      </c>
      <c r="Q39">
        <v>378</v>
      </c>
      <c r="R39" t="s">
        <v>565</v>
      </c>
      <c r="S39" t="s">
        <v>562</v>
      </c>
    </row>
    <row r="40" spans="1:19" x14ac:dyDescent="0.25">
      <c r="B40">
        <v>2142</v>
      </c>
      <c r="C40">
        <v>189</v>
      </c>
      <c r="D40">
        <v>2740</v>
      </c>
      <c r="E40">
        <v>2089</v>
      </c>
      <c r="F40">
        <v>6861</v>
      </c>
      <c r="K40" s="18">
        <v>2142</v>
      </c>
      <c r="L40" s="18" t="str">
        <f>VLOOKUP(K40,Rxn_dict[],2)</f>
        <v>["Xanthosine 5'-phosphate", 'Diphosphate']</v>
      </c>
      <c r="M40" s="18" t="str">
        <f>VLOOKUP(K40,Rxn_dict[],3)</f>
        <v>['Xanthine', '5-Phospho-alpha-D-ribose 1-diphosphate']</v>
      </c>
      <c r="Q40">
        <v>379</v>
      </c>
      <c r="R40" t="s">
        <v>566</v>
      </c>
      <c r="S40" t="s">
        <v>567</v>
      </c>
    </row>
    <row r="41" spans="1:19" x14ac:dyDescent="0.25">
      <c r="B41">
        <v>2320</v>
      </c>
      <c r="C41">
        <v>3646</v>
      </c>
      <c r="D41">
        <v>14</v>
      </c>
      <c r="E41">
        <v>1271</v>
      </c>
      <c r="F41">
        <v>4957</v>
      </c>
      <c r="K41" s="18">
        <v>2320</v>
      </c>
      <c r="L41" s="18" t="str">
        <f>VLOOKUP(K41,Rxn_dict[],2)</f>
        <v>['Nucleoside triphosphate', 'Pyruvate']</v>
      </c>
      <c r="M41" s="18" t="str">
        <f>VLOOKUP(K41,Rxn_dict[],3)</f>
        <v>['NDP', 'Phosphoenolpyruvate']</v>
      </c>
      <c r="Q41">
        <v>382</v>
      </c>
      <c r="R41" t="s">
        <v>568</v>
      </c>
      <c r="S41" t="s">
        <v>569</v>
      </c>
    </row>
    <row r="42" spans="1:19" x14ac:dyDescent="0.25">
      <c r="B42">
        <v>2568</v>
      </c>
      <c r="C42">
        <v>5577</v>
      </c>
      <c r="D42">
        <v>1625</v>
      </c>
      <c r="E42">
        <v>1126</v>
      </c>
      <c r="F42">
        <v>84</v>
      </c>
      <c r="K42" s="18">
        <v>2568</v>
      </c>
      <c r="L42" s="18" t="str">
        <f>VLOOKUP(K42,Rxn_dict[],2)</f>
        <v>['D-Fructose 1-phosphate']</v>
      </c>
      <c r="M42" s="18" t="str">
        <f>VLOOKUP(K42,Rxn_dict[],3)</f>
        <v>['Glycerone phosphate', 'D-Glyceraldehyde']</v>
      </c>
      <c r="Q42">
        <v>405</v>
      </c>
      <c r="R42" t="s">
        <v>570</v>
      </c>
      <c r="S42" t="s">
        <v>571</v>
      </c>
    </row>
    <row r="43" spans="1:19" x14ac:dyDescent="0.25">
      <c r="B43">
        <v>2918</v>
      </c>
      <c r="C43">
        <v>12852</v>
      </c>
      <c r="E43">
        <v>2738</v>
      </c>
      <c r="F43">
        <v>1404</v>
      </c>
      <c r="K43" s="18">
        <v>2918</v>
      </c>
      <c r="L43" s="18" t="str">
        <f>VLOOKUP(K43,Rxn_dict[],2)</f>
        <v>['ATP', 'L-Tyrosine', 'tRNA(Tyr)']</v>
      </c>
      <c r="M43" s="18" t="str">
        <f>VLOOKUP(K43,Rxn_dict[],3)</f>
        <v>['AMP', 'Diphosphate', 'L-Tyrosyl-tRNA(Tyr)']</v>
      </c>
      <c r="Q43">
        <v>416</v>
      </c>
      <c r="R43" t="s">
        <v>572</v>
      </c>
      <c r="S43" t="s">
        <v>573</v>
      </c>
    </row>
    <row r="44" spans="1:19" x14ac:dyDescent="0.25">
      <c r="B44">
        <v>3038</v>
      </c>
      <c r="C44">
        <v>12852</v>
      </c>
      <c r="D44">
        <v>177</v>
      </c>
      <c r="E44">
        <v>963</v>
      </c>
      <c r="F44">
        <v>2971</v>
      </c>
      <c r="K44" s="18">
        <v>3038</v>
      </c>
      <c r="L44" s="18" t="str">
        <f>VLOOKUP(K44,Rxn_dict[],2)</f>
        <v>['ATP', 'L-Alanine', 'tRNA(Ala)']</v>
      </c>
      <c r="M44" s="18" t="str">
        <f>VLOOKUP(K44,Rxn_dict[],3)</f>
        <v>['AMP', 'Diphosphate', 'L-Alanyl-tRNA']</v>
      </c>
      <c r="Q44">
        <v>418</v>
      </c>
      <c r="R44" t="s">
        <v>958</v>
      </c>
      <c r="S44" t="s">
        <v>959</v>
      </c>
    </row>
    <row r="45" spans="1:19" x14ac:dyDescent="0.25">
      <c r="B45">
        <v>3596</v>
      </c>
      <c r="C45">
        <v>1049</v>
      </c>
      <c r="D45">
        <v>1049</v>
      </c>
      <c r="E45">
        <v>1667</v>
      </c>
      <c r="F45">
        <v>3197</v>
      </c>
      <c r="K45" s="18">
        <v>3596</v>
      </c>
      <c r="L45" s="18" t="str">
        <f>VLOOKUP(K45,Rxn_dict[],2)</f>
        <v>['Hydrogen selenide', '3 NADP+', '3 H2O']</v>
      </c>
      <c r="M45" s="18" t="str">
        <f>VLOOKUP(K45,Rxn_dict[],3)</f>
        <v>['Selenite', '3 NADPH', '5 H+']</v>
      </c>
      <c r="Q45">
        <v>429</v>
      </c>
      <c r="R45" t="s">
        <v>574</v>
      </c>
      <c r="S45" t="s">
        <v>575</v>
      </c>
    </row>
    <row r="46" spans="1:19" x14ac:dyDescent="0.25">
      <c r="B46">
        <v>3646</v>
      </c>
      <c r="C46">
        <v>382</v>
      </c>
      <c r="E46">
        <v>5168</v>
      </c>
      <c r="F46">
        <v>4726</v>
      </c>
      <c r="K46" s="18">
        <v>3646</v>
      </c>
      <c r="L46" s="18" t="str">
        <f>VLOOKUP(K46,Rxn_dict[],2)</f>
        <v>['ATP', 'L-Arginine', 'tRNA(Arg)']</v>
      </c>
      <c r="M46" s="18" t="str">
        <f>VLOOKUP(K46,Rxn_dict[],3)</f>
        <v>['AMP', 'Diphosphate', 'L-Arginyl-tRNA(Arg)']</v>
      </c>
      <c r="Q46">
        <v>430</v>
      </c>
      <c r="R46" t="s">
        <v>427</v>
      </c>
      <c r="S46" t="s">
        <v>428</v>
      </c>
    </row>
    <row r="47" spans="1:19" x14ac:dyDescent="0.25">
      <c r="B47">
        <v>3650</v>
      </c>
      <c r="C47">
        <v>1132</v>
      </c>
      <c r="D47">
        <v>2739</v>
      </c>
      <c r="E47">
        <v>86</v>
      </c>
      <c r="F47">
        <v>1702</v>
      </c>
      <c r="K47" s="18">
        <v>3650</v>
      </c>
      <c r="L47" s="18" t="str">
        <f>VLOOKUP(K47,Rxn_dict[],2)</f>
        <v>['ATP', 'L-Cysteine', 'tRNA(Cys)']</v>
      </c>
      <c r="M47" s="18" t="str">
        <f>VLOOKUP(K47,Rxn_dict[],3)</f>
        <v>['AMP', 'Diphosphate', 'L-Cysteinyl-tRNA(Cys)']</v>
      </c>
      <c r="Q47">
        <v>435</v>
      </c>
      <c r="R47" t="s">
        <v>576</v>
      </c>
      <c r="S47" t="s">
        <v>577</v>
      </c>
    </row>
    <row r="48" spans="1:19" x14ac:dyDescent="0.25">
      <c r="B48">
        <v>3654</v>
      </c>
      <c r="C48">
        <v>1843</v>
      </c>
      <c r="D48">
        <v>1858</v>
      </c>
      <c r="E48">
        <v>1663</v>
      </c>
      <c r="F48">
        <v>4953</v>
      </c>
      <c r="K48" s="18">
        <v>3654</v>
      </c>
      <c r="L48" s="18" t="str">
        <f>VLOOKUP(K48,Rxn_dict[],2)</f>
        <v>['ATP', 'Glycine', 'tRNA(Gly)']</v>
      </c>
      <c r="M48" s="18" t="str">
        <f>VLOOKUP(K48,Rxn_dict[],3)</f>
        <v>['AMP', 'Diphosphate', 'Glycyl-tRNA(Gly)']</v>
      </c>
      <c r="Q48">
        <v>441</v>
      </c>
      <c r="R48" t="s">
        <v>578</v>
      </c>
      <c r="S48" t="s">
        <v>577</v>
      </c>
    </row>
    <row r="49" spans="2:19" x14ac:dyDescent="0.25">
      <c r="B49">
        <v>3655</v>
      </c>
      <c r="C49">
        <v>435</v>
      </c>
      <c r="E49">
        <v>6522</v>
      </c>
      <c r="F49">
        <v>965</v>
      </c>
      <c r="K49" s="18">
        <v>3655</v>
      </c>
      <c r="L49" s="18" t="str">
        <f>VLOOKUP(K49,Rxn_dict[],2)</f>
        <v>['ATP', 'L-Histidine', 'tRNA(His)']</v>
      </c>
      <c r="M49" s="18" t="str">
        <f>VLOOKUP(K49,Rxn_dict[],3)</f>
        <v>['AMP', 'Diphosphate', 'L-Histidyl-tRNA(His)']</v>
      </c>
      <c r="Q49">
        <v>442</v>
      </c>
      <c r="R49" t="s">
        <v>579</v>
      </c>
      <c r="S49" t="s">
        <v>577</v>
      </c>
    </row>
    <row r="50" spans="2:19" x14ac:dyDescent="0.25">
      <c r="B50">
        <v>3656</v>
      </c>
      <c r="C50">
        <v>1229</v>
      </c>
      <c r="E50">
        <v>6521</v>
      </c>
      <c r="F50">
        <v>1121</v>
      </c>
      <c r="K50" s="18">
        <v>3656</v>
      </c>
      <c r="L50" s="18" t="str">
        <f>VLOOKUP(K50,Rxn_dict[],2)</f>
        <v>['ATP', 'L-Isoleucine', 'tRNA(Ile)']</v>
      </c>
      <c r="M50" s="18" t="str">
        <f>VLOOKUP(K50,Rxn_dict[],3)</f>
        <v>['AMP', 'Diphosphate', 'L-Isoleucyl-tRNA(Ile)']</v>
      </c>
      <c r="Q50">
        <v>443</v>
      </c>
      <c r="R50" t="s">
        <v>580</v>
      </c>
      <c r="S50" t="s">
        <v>577</v>
      </c>
    </row>
    <row r="51" spans="2:19" x14ac:dyDescent="0.25">
      <c r="B51">
        <v>3657</v>
      </c>
      <c r="C51">
        <v>1518</v>
      </c>
      <c r="D51">
        <v>939</v>
      </c>
      <c r="E51">
        <v>2055</v>
      </c>
      <c r="F51">
        <v>2237</v>
      </c>
      <c r="K51" s="18">
        <v>3657</v>
      </c>
      <c r="L51" s="18" t="str">
        <f>VLOOKUP(K51,Rxn_dict[],2)</f>
        <v>['ATP', 'L-Leucine', 'tRNA(Leu)']</v>
      </c>
      <c r="M51" s="18" t="str">
        <f>VLOOKUP(K51,Rxn_dict[],3)</f>
        <v>['AMP', 'Diphosphate', 'L-Leucyl-tRNA']</v>
      </c>
      <c r="Q51">
        <v>444</v>
      </c>
      <c r="R51" t="s">
        <v>581</v>
      </c>
      <c r="S51" t="s">
        <v>577</v>
      </c>
    </row>
    <row r="52" spans="2:19" x14ac:dyDescent="0.25">
      <c r="B52">
        <v>3658</v>
      </c>
      <c r="C52">
        <v>937</v>
      </c>
      <c r="D52">
        <v>8238</v>
      </c>
      <c r="E52">
        <v>615</v>
      </c>
      <c r="F52">
        <v>6590</v>
      </c>
      <c r="K52" s="18">
        <v>3658</v>
      </c>
      <c r="L52" s="18" t="str">
        <f>VLOOKUP(K52,Rxn_dict[],2)</f>
        <v>['ATP', 'L-Lysine', 'tRNA(Lys)']</v>
      </c>
      <c r="M52" s="18" t="str">
        <f>VLOOKUP(K52,Rxn_dict[],3)</f>
        <v>['AMP', 'Diphosphate', 'L-Lysyl-tRNA']</v>
      </c>
      <c r="Q52">
        <v>505</v>
      </c>
      <c r="R52" t="s">
        <v>499</v>
      </c>
      <c r="S52" t="s">
        <v>500</v>
      </c>
    </row>
    <row r="53" spans="2:19" x14ac:dyDescent="0.25">
      <c r="B53">
        <v>3659</v>
      </c>
      <c r="C53">
        <v>3656</v>
      </c>
      <c r="D53">
        <v>512</v>
      </c>
      <c r="E53">
        <v>1827</v>
      </c>
      <c r="F53">
        <v>11892</v>
      </c>
      <c r="K53" s="18">
        <v>3659</v>
      </c>
      <c r="L53" s="18" t="str">
        <f>VLOOKUP(K53,Rxn_dict[],2)</f>
        <v>['ATP', 'L-Methionine', 'tRNA(Met)']</v>
      </c>
      <c r="M53" s="18" t="str">
        <f>VLOOKUP(K53,Rxn_dict[],3)</f>
        <v>['AMP', 'Diphosphate', 'L-Methionyl-tRNA']</v>
      </c>
      <c r="Q53">
        <v>508</v>
      </c>
      <c r="R53" t="s">
        <v>243</v>
      </c>
      <c r="S53" t="s">
        <v>244</v>
      </c>
    </row>
    <row r="54" spans="2:19" x14ac:dyDescent="0.25">
      <c r="B54">
        <v>3660</v>
      </c>
      <c r="C54">
        <v>8237</v>
      </c>
      <c r="E54">
        <v>4162</v>
      </c>
      <c r="F54">
        <v>4967</v>
      </c>
      <c r="K54" s="18">
        <v>3660</v>
      </c>
      <c r="L54" s="18" t="str">
        <f>VLOOKUP(K54,Rxn_dict[],2)</f>
        <v>['ATP', 'L-Phenylalanine', 'tRNA(Phe)']</v>
      </c>
      <c r="M54" s="18" t="str">
        <f>VLOOKUP(K54,Rxn_dict[],3)</f>
        <v>['AMP', 'Diphosphate', 'L-Phenylalanyl-tRNA(Phe)']</v>
      </c>
      <c r="Q54">
        <v>511</v>
      </c>
      <c r="R54" t="s">
        <v>247</v>
      </c>
      <c r="S54" t="s">
        <v>248</v>
      </c>
    </row>
    <row r="55" spans="2:19" x14ac:dyDescent="0.25">
      <c r="B55">
        <v>3661</v>
      </c>
      <c r="C55">
        <v>659</v>
      </c>
      <c r="D55">
        <v>1068</v>
      </c>
      <c r="E55">
        <v>1668</v>
      </c>
      <c r="F55">
        <v>1230</v>
      </c>
      <c r="K55" s="18">
        <v>3661</v>
      </c>
      <c r="L55" s="18" t="str">
        <f>VLOOKUP(K55,Rxn_dict[],2)</f>
        <v>['ATP', 'L-Proline', 'tRNA(Pro)']</v>
      </c>
      <c r="M55" s="18" t="str">
        <f>VLOOKUP(K55,Rxn_dict[],3)</f>
        <v>['AMP', 'Diphosphate', 'L-Prolyl-tRNA(Pro)']</v>
      </c>
      <c r="Q55">
        <v>512</v>
      </c>
      <c r="R55" t="s">
        <v>311</v>
      </c>
      <c r="S55" t="s">
        <v>312</v>
      </c>
    </row>
    <row r="56" spans="2:19" x14ac:dyDescent="0.25">
      <c r="B56">
        <v>3662</v>
      </c>
      <c r="C56">
        <v>1138</v>
      </c>
      <c r="E56">
        <v>2301</v>
      </c>
      <c r="F56">
        <v>4972</v>
      </c>
      <c r="K56" s="18">
        <v>3662</v>
      </c>
      <c r="L56" s="18" t="str">
        <f>VLOOKUP(K56,Rxn_dict[],2)</f>
        <v>['ATP', 'L-Serine', 'tRNA(Ser)']</v>
      </c>
      <c r="M56" s="18" t="str">
        <f>VLOOKUP(K56,Rxn_dict[],3)</f>
        <v>['AMP', 'Diphosphate', 'L-Seryl-tRNA(Ser)']</v>
      </c>
      <c r="Q56">
        <v>513</v>
      </c>
      <c r="R56" t="s">
        <v>1019</v>
      </c>
      <c r="S56" t="s">
        <v>1020</v>
      </c>
    </row>
    <row r="57" spans="2:19" x14ac:dyDescent="0.25">
      <c r="B57">
        <v>3663</v>
      </c>
      <c r="C57">
        <v>1724</v>
      </c>
      <c r="D57">
        <v>8245</v>
      </c>
      <c r="E57">
        <v>2093</v>
      </c>
      <c r="F57">
        <v>10115</v>
      </c>
      <c r="K57" s="18">
        <v>3663</v>
      </c>
      <c r="L57" s="18" t="str">
        <f>VLOOKUP(K57,Rxn_dict[],2)</f>
        <v>['ATP', 'L-Threonine', 'tRNA(Thr)']</v>
      </c>
      <c r="M57" s="18" t="str">
        <f>VLOOKUP(K57,Rxn_dict[],3)</f>
        <v>['AMP', 'Diphosphate', 'L-Threonyl-tRNA(Thr)']</v>
      </c>
      <c r="Q57">
        <v>517</v>
      </c>
      <c r="R57" t="s">
        <v>1023</v>
      </c>
      <c r="S57" t="s">
        <v>1024</v>
      </c>
    </row>
    <row r="58" spans="2:19" x14ac:dyDescent="0.25">
      <c r="B58">
        <v>3664</v>
      </c>
      <c r="C58">
        <v>9372</v>
      </c>
      <c r="F58">
        <v>4533</v>
      </c>
      <c r="K58" s="18">
        <v>3664</v>
      </c>
      <c r="L58" s="18" t="str">
        <f>VLOOKUP(K58,Rxn_dict[],2)</f>
        <v>['ATP', 'L-Tryptophan', 'tRNA(Trp)']</v>
      </c>
      <c r="M58" s="18" t="str">
        <f>VLOOKUP(K58,Rxn_dict[],3)</f>
        <v>['AMP', 'Diphosphate', 'L-Tryptophanyl-tRNA(Trp)']</v>
      </c>
      <c r="Q58">
        <v>549</v>
      </c>
      <c r="R58" t="s">
        <v>433</v>
      </c>
      <c r="S58" t="s">
        <v>434</v>
      </c>
    </row>
    <row r="59" spans="2:19" x14ac:dyDescent="0.25">
      <c r="B59">
        <v>3665</v>
      </c>
      <c r="C59">
        <v>3237</v>
      </c>
      <c r="F59">
        <v>7641</v>
      </c>
      <c r="K59" s="18">
        <v>3665</v>
      </c>
      <c r="L59" s="18" t="str">
        <f>VLOOKUP(K59,Rxn_dict[],2)</f>
        <v>['ATP', 'L-Valine', 'tRNA(Val)']</v>
      </c>
      <c r="M59" s="18" t="str">
        <f>VLOOKUP(K59,Rxn_dict[],3)</f>
        <v>['AMP', 'Diphosphate', 'L-Valyl-tRNA(Val)']</v>
      </c>
      <c r="Q59">
        <v>551</v>
      </c>
      <c r="R59" t="s">
        <v>582</v>
      </c>
      <c r="S59" t="s">
        <v>583</v>
      </c>
    </row>
    <row r="60" spans="2:19" x14ac:dyDescent="0.25">
      <c r="B60">
        <v>3940</v>
      </c>
      <c r="C60">
        <v>444</v>
      </c>
      <c r="F60">
        <v>1993</v>
      </c>
      <c r="K60" s="18">
        <v>3940</v>
      </c>
      <c r="L60" s="18" t="str">
        <f>VLOOKUP(K60,Rxn_dict[],2)</f>
        <v>['L-Methionyl-tRNA', '10-Formyltetrahydrofolate']</v>
      </c>
      <c r="M60" s="18" t="str">
        <f>VLOOKUP(K60,Rxn_dict[],3)</f>
        <v>['Tetrahydrofolate', 'N-Formylmethionyl-tRNA']</v>
      </c>
      <c r="Q60">
        <v>570</v>
      </c>
      <c r="R60" t="s">
        <v>527</v>
      </c>
      <c r="S60" t="s">
        <v>528</v>
      </c>
    </row>
    <row r="61" spans="2:19" x14ac:dyDescent="0.25">
      <c r="B61">
        <v>4206</v>
      </c>
      <c r="C61">
        <v>3319</v>
      </c>
      <c r="F61">
        <v>2767</v>
      </c>
      <c r="K61" s="18">
        <v>4206</v>
      </c>
      <c r="L61" s="18" t="str">
        <f>VLOOKUP(K61,Rxn_dict[],2)</f>
        <v>['3-Phospho-D-erythronate']</v>
      </c>
      <c r="M61" s="18" t="str">
        <f>VLOOKUP(K61,Rxn_dict[],3)</f>
        <v>['Phosphoenol-4-deoxy-3-tetrulosonate']</v>
      </c>
      <c r="Q61">
        <v>571</v>
      </c>
      <c r="R61" t="s">
        <v>317</v>
      </c>
      <c r="S61" t="s">
        <v>318</v>
      </c>
    </row>
    <row r="62" spans="2:19" x14ac:dyDescent="0.25">
      <c r="B62">
        <v>4238</v>
      </c>
      <c r="C62">
        <v>158</v>
      </c>
      <c r="F62">
        <v>10996</v>
      </c>
      <c r="K62" s="18">
        <v>4238</v>
      </c>
      <c r="L62" s="18" t="str">
        <f>VLOOKUP(K62,Rxn_dict[],2)</f>
        <v>['N-Substituted aminoacyl-tRNA']</v>
      </c>
      <c r="M62" s="18" t="str">
        <f>VLOOKUP(K62,Rxn_dict[],3)</f>
        <v>['N-Substituted amino acid', 'tRNA']</v>
      </c>
      <c r="Q62">
        <v>572</v>
      </c>
      <c r="R62" t="s">
        <v>584</v>
      </c>
      <c r="S62" t="s">
        <v>585</v>
      </c>
    </row>
    <row r="63" spans="2:19" x14ac:dyDescent="0.25">
      <c r="B63">
        <v>4268</v>
      </c>
      <c r="C63">
        <v>3239</v>
      </c>
      <c r="F63">
        <v>1801</v>
      </c>
      <c r="K63" s="18">
        <v>4268</v>
      </c>
      <c r="L63" s="18" t="str">
        <f>VLOOKUP(K63,Rxn_dict[],2)</f>
        <v>['N-Formyl-L-methionylaminoacyl-tRNA']</v>
      </c>
      <c r="M63" s="18" t="str">
        <f>VLOOKUP(K63,Rxn_dict[],3)</f>
        <v>['Formate', 'L-Methionylaminoacyl-tRNA']</v>
      </c>
      <c r="Q63">
        <v>573</v>
      </c>
      <c r="R63" t="s">
        <v>319</v>
      </c>
      <c r="S63" t="s">
        <v>320</v>
      </c>
    </row>
    <row r="64" spans="2:19" x14ac:dyDescent="0.25">
      <c r="B64">
        <v>4771</v>
      </c>
      <c r="C64">
        <v>1070</v>
      </c>
      <c r="F64">
        <v>2736</v>
      </c>
      <c r="K64" s="18">
        <v>4771</v>
      </c>
      <c r="L64" s="18" t="str">
        <f>VLOOKUP(K64,Rxn_dict[],2)</f>
        <v>['ATP', 'L-Selenomethionine']</v>
      </c>
      <c r="M64" s="18" t="str">
        <f>VLOOKUP(K64,Rxn_dict[],3)</f>
        <v>['Orthophosphate', 'Diphosphate', 'Se-Adenosylselenomethionine']</v>
      </c>
      <c r="Q64">
        <v>575</v>
      </c>
      <c r="R64" t="s">
        <v>586</v>
      </c>
      <c r="S64" t="s">
        <v>587</v>
      </c>
    </row>
    <row r="65" spans="2:19" x14ac:dyDescent="0.25">
      <c r="B65">
        <v>4773</v>
      </c>
      <c r="C65">
        <v>3238</v>
      </c>
      <c r="F65">
        <v>6172</v>
      </c>
      <c r="K65" s="18">
        <v>4773</v>
      </c>
      <c r="L65" s="18" t="str">
        <f>VLOOKUP(K65,Rxn_dict[],2)</f>
        <v>['ATP', 'L-Selenomethionine', 'tRNA(Met)']</v>
      </c>
      <c r="M65" s="18" t="str">
        <f>VLOOKUP(K65,Rxn_dict[],3)</f>
        <v>['AMP', 'Diphosphate', 'Selenomethionyl-tRNA(Met)']</v>
      </c>
      <c r="Q65">
        <v>597</v>
      </c>
      <c r="R65" t="s">
        <v>960</v>
      </c>
      <c r="S65" t="s">
        <v>961</v>
      </c>
    </row>
    <row r="66" spans="2:19" x14ac:dyDescent="0.25">
      <c r="B66">
        <v>5577</v>
      </c>
      <c r="C66">
        <v>14</v>
      </c>
      <c r="F66">
        <v>7604</v>
      </c>
      <c r="K66" s="18">
        <v>5577</v>
      </c>
      <c r="L66" s="18" t="str">
        <f>VLOOKUP(K66,Rxn_dict[],2)</f>
        <v>['tRNA(Asp)', 'L-Aspartate', 'ATP']</v>
      </c>
      <c r="M66" s="18" t="str">
        <f>VLOOKUP(K66,Rxn_dict[],3)</f>
        <v>['L-Aspartyl-tRNA(Asp)', 'Diphosphate', 'AMP']</v>
      </c>
      <c r="Q66">
        <v>600</v>
      </c>
      <c r="R66" t="s">
        <v>960</v>
      </c>
      <c r="S66" t="s">
        <v>1014</v>
      </c>
    </row>
    <row r="67" spans="2:19" x14ac:dyDescent="0.25">
      <c r="B67">
        <v>5578</v>
      </c>
      <c r="C67">
        <v>1699</v>
      </c>
      <c r="F67">
        <v>1231</v>
      </c>
      <c r="K67" s="18">
        <v>5578</v>
      </c>
      <c r="L67" s="18" t="str">
        <f>VLOOKUP(K67,Rxn_dict[],2)</f>
        <v>['tRNA(Glu)', 'L-Glutamate', 'ATP']</v>
      </c>
      <c r="M67" s="18" t="str">
        <f>VLOOKUP(K67,Rxn_dict[],3)</f>
        <v>['L-Glutamyl-tRNA(Glu)', 'Diphosphate', 'AMP']</v>
      </c>
      <c r="Q67">
        <v>615</v>
      </c>
      <c r="R67" t="s">
        <v>299</v>
      </c>
      <c r="S67" t="s">
        <v>300</v>
      </c>
    </row>
    <row r="68" spans="2:19" x14ac:dyDescent="0.25">
      <c r="B68">
        <v>5635</v>
      </c>
      <c r="C68">
        <v>1057</v>
      </c>
      <c r="F68">
        <v>5633</v>
      </c>
      <c r="K68" s="18">
        <v>5635</v>
      </c>
      <c r="L68" s="18" t="str">
        <f>VLOOKUP(K68,Rxn_dict[],2)</f>
        <v>['Formyl-L-methionyl peptide']</v>
      </c>
      <c r="M68" s="18" t="str">
        <f>VLOOKUP(K68,Rxn_dict[],3)</f>
        <v>['Methionyl peptide', 'Formate']</v>
      </c>
      <c r="Q68">
        <v>621</v>
      </c>
      <c r="R68" t="s">
        <v>1033</v>
      </c>
      <c r="S68" t="s">
        <v>1034</v>
      </c>
    </row>
    <row r="69" spans="2:19" x14ac:dyDescent="0.25">
      <c r="B69">
        <v>8218</v>
      </c>
      <c r="C69">
        <v>4206</v>
      </c>
      <c r="F69">
        <v>4241</v>
      </c>
      <c r="K69" s="18">
        <v>8218</v>
      </c>
      <c r="L69" s="18" t="str">
        <f>VLOOKUP(K69,Rxn_dict[],2)</f>
        <v>['ATP', 'L-Serine', 'tRNA(Sec)']</v>
      </c>
      <c r="M69" s="18" t="str">
        <f>VLOOKUP(K69,Rxn_dict[],3)</f>
        <v>['AMP', 'Diphosphate', 'L-Seryl-tRNA(Sec)']</v>
      </c>
      <c r="Q69">
        <v>658</v>
      </c>
      <c r="R69" t="s">
        <v>476</v>
      </c>
      <c r="S69" t="s">
        <v>478</v>
      </c>
    </row>
    <row r="70" spans="2:19" x14ac:dyDescent="0.25">
      <c r="B70">
        <v>8237</v>
      </c>
      <c r="C70">
        <v>1665</v>
      </c>
      <c r="F70">
        <v>768</v>
      </c>
      <c r="K70" s="18">
        <v>8237</v>
      </c>
      <c r="L70" s="18" t="str">
        <f>VLOOKUP(K70,Rxn_dict[],2)</f>
        <v>['6-Mercaptopurine', '5-Phospho-alpha-D-ribose 1-diphosphate']</v>
      </c>
      <c r="M70" s="18" t="str">
        <f>VLOOKUP(K70,Rxn_dict[],3)</f>
        <v>["6-Thioinosine-5'-monophosphate", 'Diphosphate']</v>
      </c>
      <c r="Q70">
        <v>659</v>
      </c>
      <c r="R70" t="s">
        <v>588</v>
      </c>
      <c r="S70" t="s">
        <v>589</v>
      </c>
    </row>
    <row r="71" spans="2:19" x14ac:dyDescent="0.25">
      <c r="B71">
        <v>8238</v>
      </c>
      <c r="C71">
        <v>8238</v>
      </c>
      <c r="F71">
        <v>12871</v>
      </c>
      <c r="K71" s="18">
        <v>8238</v>
      </c>
      <c r="L71" s="18" t="str">
        <f>VLOOKUP(K71,Rxn_dict[],2)</f>
        <v>['6-Methylmercaptopurine', '5-Phospho-alpha-D-ribose 1-diphosphate']</v>
      </c>
      <c r="M71" s="18" t="str">
        <f>VLOOKUP(K71,Rxn_dict[],3)</f>
        <v>["6-Methylthiopurine 5'-monophosphate ribonucleotide", 'Diphosphate']</v>
      </c>
      <c r="Q71">
        <v>660</v>
      </c>
      <c r="R71" t="s">
        <v>590</v>
      </c>
      <c r="S71" t="s">
        <v>591</v>
      </c>
    </row>
    <row r="72" spans="2:19" x14ac:dyDescent="0.25">
      <c r="B72">
        <v>8245</v>
      </c>
      <c r="C72">
        <v>377</v>
      </c>
      <c r="F72">
        <v>742</v>
      </c>
      <c r="K72" s="18">
        <v>8245</v>
      </c>
      <c r="L72" s="18" t="str">
        <f>VLOOKUP(K72,Rxn_dict[],2)</f>
        <v>['Thioguanine', '5-Phospho-alpha-D-ribose 1-diphosphate']</v>
      </c>
      <c r="M72" s="18" t="str">
        <f>VLOOKUP(K72,Rxn_dict[],3)</f>
        <v>['6-Thioguanosine monophosphate', 'Diphosphate']</v>
      </c>
      <c r="Q72">
        <v>703</v>
      </c>
      <c r="R72" t="s">
        <v>371</v>
      </c>
      <c r="S72" t="s">
        <v>372</v>
      </c>
    </row>
    <row r="73" spans="2:19" x14ac:dyDescent="0.25">
      <c r="B73">
        <v>9030</v>
      </c>
      <c r="C73">
        <v>3650</v>
      </c>
      <c r="F73">
        <v>8231</v>
      </c>
      <c r="K73" s="18">
        <v>9030</v>
      </c>
      <c r="L73" s="18" t="str">
        <f>VLOOKUP(K73,Rxn_dict[],2)</f>
        <v>['D-Allose 6-phosphate']</v>
      </c>
      <c r="M73" s="18" t="str">
        <f>VLOOKUP(K73,Rxn_dict[],3)</f>
        <v>['D-Allulose 6-phosphate']</v>
      </c>
      <c r="Q73">
        <v>724</v>
      </c>
      <c r="R73" t="s">
        <v>592</v>
      </c>
      <c r="S73" t="s">
        <v>593</v>
      </c>
    </row>
    <row r="74" spans="2:19" x14ac:dyDescent="0.25">
      <c r="B74">
        <v>9372</v>
      </c>
      <c r="C74">
        <v>572</v>
      </c>
      <c r="F74">
        <v>4430</v>
      </c>
      <c r="K74" s="18">
        <v>9372</v>
      </c>
      <c r="L74" s="18" t="str">
        <f>VLOOKUP(K74,Rxn_dict[],2)</f>
        <v>['2 NADPH', '2 H+', 'Methylselenic acid']</v>
      </c>
      <c r="M74" s="18" t="str">
        <f>VLOOKUP(K74,Rxn_dict[],3)</f>
        <v>['2 NADP+', '2 H2O', 'Methaneselenol']</v>
      </c>
      <c r="Q74">
        <v>742</v>
      </c>
      <c r="R74" t="s">
        <v>594</v>
      </c>
      <c r="S74" t="s">
        <v>595</v>
      </c>
    </row>
    <row r="75" spans="2:19" x14ac:dyDescent="0.25">
      <c r="B75">
        <v>10813</v>
      </c>
      <c r="C75">
        <v>2098</v>
      </c>
      <c r="F75">
        <v>1150</v>
      </c>
      <c r="K75" s="18">
        <v>10813</v>
      </c>
      <c r="L75" s="18" t="str">
        <f>VLOOKUP(K75,Rxn_dict[],2)</f>
        <v>['n Nucleoside triphosphate']</v>
      </c>
      <c r="M75" s="18" t="str">
        <f>VLOOKUP(K75,Rxn_dict[],3)</f>
        <v>["5'-Triphospho-[mRNA],(n)", '(n-1) Diphosphate']</v>
      </c>
      <c r="Q75">
        <v>756</v>
      </c>
      <c r="R75" t="s">
        <v>596</v>
      </c>
      <c r="S75" t="s">
        <v>597</v>
      </c>
    </row>
    <row r="76" spans="2:19" x14ac:dyDescent="0.25">
      <c r="B76">
        <v>11029</v>
      </c>
      <c r="C76">
        <v>1068</v>
      </c>
      <c r="F76">
        <v>10118</v>
      </c>
      <c r="K76" s="18">
        <v>11029</v>
      </c>
      <c r="L76" s="18" t="str">
        <f>VLOOKUP(K76,Rxn_dict[],2)</f>
        <v>["2'-Deoxy-5-hydroxymethylcytidine-5'-triphosphate"]</v>
      </c>
      <c r="M76" s="18" t="str">
        <f>VLOOKUP(K76,Rxn_dict[],3)</f>
        <v>['5-Hydroxymethylcytosine in DNA']</v>
      </c>
      <c r="Q76">
        <v>765</v>
      </c>
      <c r="R76" t="s">
        <v>351</v>
      </c>
      <c r="S76" t="s">
        <v>352</v>
      </c>
    </row>
    <row r="77" spans="2:19" x14ac:dyDescent="0.25">
      <c r="B77">
        <v>12852</v>
      </c>
      <c r="C77">
        <v>2740</v>
      </c>
      <c r="F77">
        <v>11319</v>
      </c>
      <c r="K77" s="18">
        <v>12852</v>
      </c>
      <c r="L77" s="18" t="str">
        <f>VLOOKUP(K77,Rxn_dict[],2)</f>
        <v>['dZMP', 'ATP']</v>
      </c>
      <c r="M77" s="18" t="str">
        <f>VLOOKUP(K77,Rxn_dict[],3)</f>
        <v>['dZDP', 'ADP']</v>
      </c>
      <c r="Q77">
        <v>767</v>
      </c>
      <c r="R77" t="s">
        <v>598</v>
      </c>
      <c r="S77" t="s">
        <v>599</v>
      </c>
    </row>
    <row r="78" spans="2:19" x14ac:dyDescent="0.25">
      <c r="C78">
        <v>200</v>
      </c>
      <c r="F78">
        <v>7600</v>
      </c>
      <c r="K78" s="18">
        <v>0</v>
      </c>
      <c r="L78" s="18" t="str">
        <f>VLOOKUP(K78,Rxn_dict[],2)</f>
        <v/>
      </c>
      <c r="M78" s="18" t="str">
        <f>VLOOKUP(K78,Rxn_dict[],3)</f>
        <v/>
      </c>
      <c r="Q78">
        <v>768</v>
      </c>
      <c r="R78" t="s">
        <v>600</v>
      </c>
      <c r="S78" t="s">
        <v>601</v>
      </c>
    </row>
    <row r="79" spans="2:19" x14ac:dyDescent="0.25">
      <c r="C79">
        <v>375</v>
      </c>
      <c r="F79">
        <v>7763</v>
      </c>
      <c r="K79" s="18">
        <v>0</v>
      </c>
      <c r="L79" s="18" t="str">
        <f>VLOOKUP(K79,Rxn_dict[],2)</f>
        <v/>
      </c>
      <c r="M79" s="18" t="str">
        <f>VLOOKUP(K79,Rxn_dict[],3)</f>
        <v/>
      </c>
      <c r="Q79">
        <v>769</v>
      </c>
      <c r="R79" t="s">
        <v>602</v>
      </c>
      <c r="S79" t="s">
        <v>603</v>
      </c>
    </row>
    <row r="80" spans="2:19" x14ac:dyDescent="0.25">
      <c r="C80">
        <v>376</v>
      </c>
      <c r="F80">
        <v>6447</v>
      </c>
      <c r="K80" s="18">
        <v>0</v>
      </c>
      <c r="L80" s="18" t="str">
        <f>VLOOKUP(K80,Rxn_dict[],2)</f>
        <v/>
      </c>
      <c r="M80" s="18" t="str">
        <f>VLOOKUP(K80,Rxn_dict[],3)</f>
        <v/>
      </c>
      <c r="Q80">
        <v>770</v>
      </c>
      <c r="R80" t="s">
        <v>604</v>
      </c>
      <c r="S80" t="s">
        <v>605</v>
      </c>
    </row>
    <row r="81" spans="3:19" x14ac:dyDescent="0.25">
      <c r="C81">
        <v>443</v>
      </c>
      <c r="F81">
        <v>3018</v>
      </c>
      <c r="K81" s="18">
        <v>0</v>
      </c>
      <c r="L81" s="18" t="str">
        <f>VLOOKUP(K81,Rxn_dict[],2)</f>
        <v/>
      </c>
      <c r="M81" s="18" t="str">
        <f>VLOOKUP(K81,Rxn_dict[],3)</f>
        <v/>
      </c>
      <c r="Q81">
        <v>771</v>
      </c>
      <c r="R81" t="s">
        <v>470</v>
      </c>
      <c r="S81" t="s">
        <v>471</v>
      </c>
    </row>
    <row r="82" spans="3:19" x14ac:dyDescent="0.25">
      <c r="C82">
        <v>512</v>
      </c>
      <c r="F82">
        <v>3191</v>
      </c>
      <c r="K82" s="18">
        <v>0</v>
      </c>
      <c r="L82" s="18" t="str">
        <f>VLOOKUP(K82,Rxn_dict[],2)</f>
        <v/>
      </c>
      <c r="M82" s="18" t="str">
        <f>VLOOKUP(K82,Rxn_dict[],3)</f>
        <v/>
      </c>
      <c r="Q82">
        <v>835</v>
      </c>
      <c r="R82" t="s">
        <v>606</v>
      </c>
      <c r="S82" t="s">
        <v>607</v>
      </c>
    </row>
    <row r="83" spans="3:19" x14ac:dyDescent="0.25">
      <c r="C83">
        <v>756</v>
      </c>
      <c r="F83">
        <v>429</v>
      </c>
      <c r="K83" s="18">
        <v>0</v>
      </c>
      <c r="L83" s="18" t="str">
        <f>VLOOKUP(K83,Rxn_dict[],2)</f>
        <v/>
      </c>
      <c r="M83" s="18" t="str">
        <f>VLOOKUP(K83,Rxn_dict[],3)</f>
        <v/>
      </c>
      <c r="Q83">
        <v>842</v>
      </c>
      <c r="R83" t="s">
        <v>506</v>
      </c>
      <c r="S83" t="s">
        <v>507</v>
      </c>
    </row>
    <row r="84" spans="3:19" x14ac:dyDescent="0.25">
      <c r="C84">
        <v>767</v>
      </c>
      <c r="F84">
        <v>335</v>
      </c>
      <c r="K84" s="18">
        <v>0</v>
      </c>
      <c r="L84" s="18" t="str">
        <f>VLOOKUP(K84,Rxn_dict[],2)</f>
        <v/>
      </c>
      <c r="M84" s="18" t="str">
        <f>VLOOKUP(K84,Rxn_dict[],3)</f>
        <v/>
      </c>
      <c r="Q84">
        <v>844</v>
      </c>
      <c r="R84" t="s">
        <v>608</v>
      </c>
      <c r="S84" t="s">
        <v>609</v>
      </c>
    </row>
    <row r="85" spans="3:19" x14ac:dyDescent="0.25">
      <c r="C85">
        <v>771</v>
      </c>
      <c r="F85">
        <v>4964</v>
      </c>
      <c r="K85" s="18">
        <v>0</v>
      </c>
      <c r="L85" s="18" t="str">
        <f>VLOOKUP(K85,Rxn_dict[],2)</f>
        <v/>
      </c>
      <c r="M85" s="18" t="str">
        <f>VLOOKUP(K85,Rxn_dict[],3)</f>
        <v/>
      </c>
      <c r="Q85">
        <v>847</v>
      </c>
      <c r="R85" t="s">
        <v>357</v>
      </c>
      <c r="S85" t="s">
        <v>358</v>
      </c>
    </row>
    <row r="86" spans="3:19" x14ac:dyDescent="0.25">
      <c r="C86">
        <v>936</v>
      </c>
      <c r="F86">
        <v>10116</v>
      </c>
      <c r="K86" s="18">
        <v>0</v>
      </c>
      <c r="L86" s="18" t="str">
        <f>VLOOKUP(K86,Rxn_dict[],2)</f>
        <v/>
      </c>
      <c r="M86" s="18" t="str">
        <f>VLOOKUP(K86,Rxn_dict[],3)</f>
        <v/>
      </c>
      <c r="Q86">
        <v>851</v>
      </c>
      <c r="R86" t="s">
        <v>359</v>
      </c>
      <c r="S86" t="s">
        <v>360</v>
      </c>
    </row>
    <row r="87" spans="3:19" x14ac:dyDescent="0.25">
      <c r="C87">
        <v>939</v>
      </c>
      <c r="F87">
        <v>4960</v>
      </c>
      <c r="K87" s="18">
        <v>0</v>
      </c>
      <c r="L87" s="18" t="str">
        <f>VLOOKUP(K87,Rxn_dict[],2)</f>
        <v/>
      </c>
      <c r="M87" s="18" t="str">
        <f>VLOOKUP(K87,Rxn_dict[],3)</f>
        <v/>
      </c>
      <c r="Q87">
        <v>856</v>
      </c>
      <c r="R87" t="s">
        <v>610</v>
      </c>
      <c r="S87" t="s">
        <v>611</v>
      </c>
    </row>
    <row r="88" spans="3:19" x14ac:dyDescent="0.25">
      <c r="C88">
        <v>940</v>
      </c>
      <c r="F88">
        <v>310</v>
      </c>
      <c r="K88" s="18">
        <v>0</v>
      </c>
      <c r="L88" s="18" t="str">
        <f>VLOOKUP(K88,Rxn_dict[],2)</f>
        <v/>
      </c>
      <c r="M88" s="18" t="str">
        <f>VLOOKUP(K88,Rxn_dict[],3)</f>
        <v/>
      </c>
      <c r="Q88">
        <v>900</v>
      </c>
      <c r="R88" t="s">
        <v>612</v>
      </c>
      <c r="S88" t="s">
        <v>613</v>
      </c>
    </row>
    <row r="89" spans="3:19" x14ac:dyDescent="0.25">
      <c r="C89">
        <v>1858</v>
      </c>
      <c r="F89">
        <v>5630</v>
      </c>
      <c r="K89" s="18">
        <v>0</v>
      </c>
      <c r="L89" s="18" t="str">
        <f>VLOOKUP(K89,Rxn_dict[],2)</f>
        <v/>
      </c>
      <c r="M89" s="18" t="str">
        <f>VLOOKUP(K89,Rxn_dict[],3)</f>
        <v/>
      </c>
      <c r="Q89">
        <v>921</v>
      </c>
      <c r="R89" t="s">
        <v>397</v>
      </c>
      <c r="S89" t="s">
        <v>398</v>
      </c>
    </row>
    <row r="90" spans="3:19" x14ac:dyDescent="0.25">
      <c r="C90">
        <v>2016</v>
      </c>
      <c r="F90">
        <v>4543</v>
      </c>
      <c r="K90" s="18">
        <v>0</v>
      </c>
      <c r="L90" s="18" t="str">
        <f>VLOOKUP(K90,Rxn_dict[],2)</f>
        <v/>
      </c>
      <c r="M90" s="18" t="str">
        <f>VLOOKUP(K90,Rxn_dict[],3)</f>
        <v/>
      </c>
      <c r="Q90">
        <v>936</v>
      </c>
      <c r="R90" t="s">
        <v>614</v>
      </c>
      <c r="S90" t="s">
        <v>615</v>
      </c>
    </row>
    <row r="91" spans="3:19" x14ac:dyDescent="0.25">
      <c r="C91">
        <v>2090</v>
      </c>
      <c r="F91">
        <v>1529</v>
      </c>
      <c r="K91" s="18">
        <v>0</v>
      </c>
      <c r="L91" s="18" t="str">
        <f>VLOOKUP(K91,Rxn_dict[],2)</f>
        <v/>
      </c>
      <c r="M91" s="18" t="str">
        <f>VLOOKUP(K91,Rxn_dict[],3)</f>
        <v/>
      </c>
      <c r="Q91">
        <v>937</v>
      </c>
      <c r="R91" t="s">
        <v>616</v>
      </c>
      <c r="S91" t="s">
        <v>617</v>
      </c>
    </row>
    <row r="92" spans="3:19" x14ac:dyDescent="0.25">
      <c r="C92">
        <v>2094</v>
      </c>
      <c r="F92">
        <v>4959</v>
      </c>
      <c r="K92" s="18">
        <v>0</v>
      </c>
      <c r="L92" s="18" t="str">
        <f>VLOOKUP(K92,Rxn_dict[],2)</f>
        <v/>
      </c>
      <c r="M92" s="18" t="str">
        <f>VLOOKUP(K92,Rxn_dict[],3)</f>
        <v/>
      </c>
      <c r="Q92">
        <v>939</v>
      </c>
      <c r="R92" t="s">
        <v>331</v>
      </c>
      <c r="S92" t="s">
        <v>332</v>
      </c>
    </row>
    <row r="93" spans="3:19" x14ac:dyDescent="0.25">
      <c r="C93">
        <v>2142</v>
      </c>
      <c r="F93">
        <v>571</v>
      </c>
      <c r="K93" s="18">
        <v>0</v>
      </c>
      <c r="L93" s="18" t="str">
        <f>VLOOKUP(K93,Rxn_dict[],2)</f>
        <v/>
      </c>
      <c r="M93" s="18" t="str">
        <f>VLOOKUP(K93,Rxn_dict[],3)</f>
        <v/>
      </c>
      <c r="Q93">
        <v>940</v>
      </c>
      <c r="R93" t="s">
        <v>618</v>
      </c>
      <c r="S93" t="s">
        <v>619</v>
      </c>
    </row>
    <row r="94" spans="3:19" x14ac:dyDescent="0.25">
      <c r="C94">
        <v>2568</v>
      </c>
      <c r="F94">
        <v>1528</v>
      </c>
      <c r="K94" s="18">
        <v>0</v>
      </c>
      <c r="L94" s="18" t="str">
        <f>VLOOKUP(K94,Rxn_dict[],2)</f>
        <v/>
      </c>
      <c r="M94" s="18" t="str">
        <f>VLOOKUP(K94,Rxn_dict[],3)</f>
        <v/>
      </c>
      <c r="Q94">
        <v>942</v>
      </c>
      <c r="R94" t="s">
        <v>347</v>
      </c>
      <c r="S94" t="s">
        <v>348</v>
      </c>
    </row>
    <row r="95" spans="3:19" x14ac:dyDescent="0.25">
      <c r="C95">
        <v>2739</v>
      </c>
      <c r="F95">
        <v>1547</v>
      </c>
      <c r="K95" s="18">
        <v>0</v>
      </c>
      <c r="L95" s="18" t="str">
        <f>VLOOKUP(K95,Rxn_dict[],2)</f>
        <v/>
      </c>
      <c r="M95" s="18" t="str">
        <f>VLOOKUP(K95,Rxn_dict[],3)</f>
        <v/>
      </c>
      <c r="Q95">
        <v>945</v>
      </c>
      <c r="R95" t="s">
        <v>361</v>
      </c>
      <c r="S95" t="s">
        <v>362</v>
      </c>
    </row>
    <row r="96" spans="3:19" x14ac:dyDescent="0.25">
      <c r="C96">
        <v>3236</v>
      </c>
      <c r="F96">
        <v>3083</v>
      </c>
      <c r="K96" s="18">
        <v>0</v>
      </c>
      <c r="L96" s="18" t="str">
        <f>VLOOKUP(K96,Rxn_dict[],2)</f>
        <v/>
      </c>
      <c r="M96" s="18" t="str">
        <f>VLOOKUP(K96,Rxn_dict[],3)</f>
        <v/>
      </c>
      <c r="Q96">
        <v>959</v>
      </c>
      <c r="R96" t="s">
        <v>475</v>
      </c>
      <c r="S96" t="s">
        <v>468</v>
      </c>
    </row>
    <row r="97" spans="3:19" x14ac:dyDescent="0.25">
      <c r="C97">
        <v>3654</v>
      </c>
      <c r="F97">
        <v>5145</v>
      </c>
      <c r="K97" s="18">
        <v>0</v>
      </c>
      <c r="L97" s="18" t="str">
        <f>VLOOKUP(K97,Rxn_dict[],2)</f>
        <v/>
      </c>
      <c r="M97" s="18" t="str">
        <f>VLOOKUP(K97,Rxn_dict[],3)</f>
        <v/>
      </c>
      <c r="Q97">
        <v>963</v>
      </c>
      <c r="R97" t="s">
        <v>249</v>
      </c>
      <c r="S97" t="s">
        <v>250</v>
      </c>
    </row>
    <row r="98" spans="3:19" x14ac:dyDescent="0.25">
      <c r="C98">
        <v>3655</v>
      </c>
      <c r="F98">
        <v>2718</v>
      </c>
      <c r="K98" s="18">
        <v>0</v>
      </c>
      <c r="L98" s="18" t="str">
        <f>VLOOKUP(K98,Rxn_dict[],2)</f>
        <v/>
      </c>
      <c r="M98" s="18" t="str">
        <f>VLOOKUP(K98,Rxn_dict[],3)</f>
        <v/>
      </c>
      <c r="Q98">
        <v>964</v>
      </c>
      <c r="R98" t="s">
        <v>1021</v>
      </c>
      <c r="S98" t="s">
        <v>1022</v>
      </c>
    </row>
    <row r="99" spans="3:19" x14ac:dyDescent="0.25">
      <c r="C99">
        <v>3660</v>
      </c>
      <c r="F99">
        <v>1714</v>
      </c>
      <c r="K99" s="18">
        <v>0</v>
      </c>
      <c r="L99" s="18" t="str">
        <f>VLOOKUP(K99,Rxn_dict[],2)</f>
        <v/>
      </c>
      <c r="M99" s="18" t="str">
        <f>VLOOKUP(K99,Rxn_dict[],3)</f>
        <v/>
      </c>
      <c r="Q99">
        <v>965</v>
      </c>
      <c r="R99" t="s">
        <v>620</v>
      </c>
      <c r="S99" t="s">
        <v>249</v>
      </c>
    </row>
    <row r="100" spans="3:19" x14ac:dyDescent="0.25">
      <c r="C100">
        <v>3661</v>
      </c>
      <c r="F100">
        <v>12863</v>
      </c>
      <c r="K100" s="18">
        <v>0</v>
      </c>
      <c r="L100" s="18" t="str">
        <f>VLOOKUP(K100,Rxn_dict[],2)</f>
        <v/>
      </c>
      <c r="M100" s="18" t="str">
        <f>VLOOKUP(K100,Rxn_dict[],3)</f>
        <v/>
      </c>
      <c r="Q100">
        <v>966</v>
      </c>
      <c r="R100" t="s">
        <v>521</v>
      </c>
      <c r="S100" t="s">
        <v>522</v>
      </c>
    </row>
    <row r="101" spans="3:19" x14ac:dyDescent="0.25">
      <c r="C101">
        <v>3662</v>
      </c>
      <c r="F101">
        <v>416</v>
      </c>
      <c r="K101" s="18">
        <v>0</v>
      </c>
      <c r="L101" s="18" t="str">
        <f>VLOOKUP(K101,Rxn_dict[],2)</f>
        <v/>
      </c>
      <c r="M101" s="18" t="str">
        <f>VLOOKUP(K101,Rxn_dict[],3)</f>
        <v/>
      </c>
      <c r="Q101">
        <v>968</v>
      </c>
      <c r="R101" t="s">
        <v>1025</v>
      </c>
      <c r="S101" t="s">
        <v>1026</v>
      </c>
    </row>
    <row r="102" spans="3:19" x14ac:dyDescent="0.25">
      <c r="C102">
        <v>3664</v>
      </c>
      <c r="F102">
        <v>10997</v>
      </c>
      <c r="K102" s="18">
        <v>0</v>
      </c>
      <c r="L102" s="18" t="str">
        <f>VLOOKUP(K102,Rxn_dict[],2)</f>
        <v/>
      </c>
      <c r="M102" s="18" t="str">
        <f>VLOOKUP(K102,Rxn_dict[],3)</f>
        <v/>
      </c>
      <c r="Q102">
        <v>1000</v>
      </c>
      <c r="R102" t="s">
        <v>962</v>
      </c>
      <c r="S102" t="s">
        <v>963</v>
      </c>
    </row>
    <row r="103" spans="3:19" x14ac:dyDescent="0.25">
      <c r="C103">
        <v>3665</v>
      </c>
      <c r="F103">
        <v>4562</v>
      </c>
      <c r="K103" s="18">
        <v>0</v>
      </c>
      <c r="L103" s="18" t="str">
        <f>VLOOKUP(K103,Rxn_dict[],2)</f>
        <v/>
      </c>
      <c r="M103" s="18" t="str">
        <f>VLOOKUP(K103,Rxn_dict[],3)</f>
        <v/>
      </c>
      <c r="Q103">
        <v>1015</v>
      </c>
      <c r="R103" t="s">
        <v>473</v>
      </c>
      <c r="S103" t="s">
        <v>474</v>
      </c>
    </row>
    <row r="104" spans="3:19" x14ac:dyDescent="0.25">
      <c r="C104">
        <v>4238</v>
      </c>
      <c r="F104">
        <v>7603</v>
      </c>
      <c r="K104" s="18">
        <v>0</v>
      </c>
      <c r="L104" s="18" t="str">
        <f>VLOOKUP(K104,Rxn_dict[],2)</f>
        <v/>
      </c>
      <c r="M104" s="18" t="str">
        <f>VLOOKUP(K104,Rxn_dict[],3)</f>
        <v/>
      </c>
      <c r="Q104">
        <v>1021</v>
      </c>
      <c r="R104" t="s">
        <v>1039</v>
      </c>
      <c r="S104" t="s">
        <v>1040</v>
      </c>
    </row>
    <row r="105" spans="3:19" x14ac:dyDescent="0.25">
      <c r="C105">
        <v>4268</v>
      </c>
      <c r="F105">
        <v>10948</v>
      </c>
      <c r="K105" s="18">
        <v>0</v>
      </c>
      <c r="L105" s="18" t="str">
        <f>VLOOKUP(K105,Rxn_dict[],2)</f>
        <v/>
      </c>
      <c r="M105" s="18" t="str">
        <f>VLOOKUP(K105,Rxn_dict[],3)</f>
        <v/>
      </c>
      <c r="Q105">
        <v>1049</v>
      </c>
      <c r="R105" t="s">
        <v>449</v>
      </c>
      <c r="S105" t="s">
        <v>450</v>
      </c>
    </row>
    <row r="106" spans="3:19" x14ac:dyDescent="0.25">
      <c r="C106">
        <v>4771</v>
      </c>
      <c r="F106">
        <v>856</v>
      </c>
      <c r="K106" s="18">
        <v>0</v>
      </c>
      <c r="L106" s="18" t="str">
        <f>VLOOKUP(K106,Rxn_dict[],2)</f>
        <v/>
      </c>
      <c r="M106" s="18" t="str">
        <f>VLOOKUP(K106,Rxn_dict[],3)</f>
        <v/>
      </c>
      <c r="Q106">
        <v>1056</v>
      </c>
      <c r="R106" t="s">
        <v>484</v>
      </c>
      <c r="S106" t="s">
        <v>481</v>
      </c>
    </row>
    <row r="107" spans="3:19" x14ac:dyDescent="0.25">
      <c r="C107">
        <v>4779</v>
      </c>
      <c r="F107">
        <v>2412</v>
      </c>
      <c r="K107" s="18">
        <v>0</v>
      </c>
      <c r="L107" s="18" t="str">
        <f>VLOOKUP(K107,Rxn_dict[],2)</f>
        <v/>
      </c>
      <c r="M107" s="18" t="str">
        <f>VLOOKUP(K107,Rxn_dict[],3)</f>
        <v/>
      </c>
      <c r="Q107">
        <v>1057</v>
      </c>
      <c r="R107" t="s">
        <v>483</v>
      </c>
      <c r="S107" t="s">
        <v>484</v>
      </c>
    </row>
    <row r="108" spans="3:19" x14ac:dyDescent="0.25">
      <c r="C108">
        <v>8245</v>
      </c>
      <c r="F108">
        <v>8240</v>
      </c>
      <c r="K108" s="18">
        <v>0</v>
      </c>
      <c r="L108" s="18" t="str">
        <f>VLOOKUP(K108,Rxn_dict[],2)</f>
        <v/>
      </c>
      <c r="M108" s="18" t="str">
        <f>VLOOKUP(K108,Rxn_dict[],3)</f>
        <v/>
      </c>
      <c r="Q108">
        <v>1058</v>
      </c>
      <c r="R108" t="s">
        <v>355</v>
      </c>
      <c r="S108" t="s">
        <v>356</v>
      </c>
    </row>
    <row r="109" spans="3:19" x14ac:dyDescent="0.25">
      <c r="C109">
        <v>8639</v>
      </c>
      <c r="F109">
        <v>3192</v>
      </c>
      <c r="K109" s="18">
        <v>0</v>
      </c>
      <c r="L109" s="18" t="str">
        <f>VLOOKUP(K109,Rxn_dict[],2)</f>
        <v/>
      </c>
      <c r="M109" s="18" t="str">
        <f>VLOOKUP(K109,Rxn_dict[],3)</f>
        <v/>
      </c>
      <c r="Q109">
        <v>1061</v>
      </c>
      <c r="R109" t="s">
        <v>479</v>
      </c>
      <c r="S109" t="s">
        <v>480</v>
      </c>
    </row>
    <row r="110" spans="3:19" x14ac:dyDescent="0.25">
      <c r="C110">
        <v>11765</v>
      </c>
      <c r="F110">
        <v>1397</v>
      </c>
      <c r="K110" s="18">
        <v>0</v>
      </c>
      <c r="L110" s="18" t="str">
        <f>VLOOKUP(K110,Rxn_dict[],2)</f>
        <v/>
      </c>
      <c r="M110" s="18" t="str">
        <f>VLOOKUP(K110,Rxn_dict[],3)</f>
        <v/>
      </c>
      <c r="Q110">
        <v>1066</v>
      </c>
      <c r="R110" t="s">
        <v>486</v>
      </c>
      <c r="S110" t="s">
        <v>496</v>
      </c>
    </row>
    <row r="111" spans="3:19" x14ac:dyDescent="0.25">
      <c r="F111">
        <v>4</v>
      </c>
      <c r="K111" s="18">
        <v>0</v>
      </c>
      <c r="L111" s="18" t="str">
        <f>VLOOKUP(K111,Rxn_dict[],2)</f>
        <v/>
      </c>
      <c r="M111" s="18" t="str">
        <f>VLOOKUP(K111,Rxn_dict[],3)</f>
        <v/>
      </c>
      <c r="Q111">
        <v>1067</v>
      </c>
      <c r="R111" t="s">
        <v>489</v>
      </c>
      <c r="S111" t="s">
        <v>490</v>
      </c>
    </row>
    <row r="112" spans="3:19" x14ac:dyDescent="0.25">
      <c r="F112">
        <v>36</v>
      </c>
      <c r="K112" s="18">
        <v>0</v>
      </c>
      <c r="L112" s="18" t="str">
        <f>VLOOKUP(K112,Rxn_dict[],2)</f>
        <v/>
      </c>
      <c r="M112" s="18" t="str">
        <f>VLOOKUP(K112,Rxn_dict[],3)</f>
        <v/>
      </c>
      <c r="Q112">
        <v>1068</v>
      </c>
      <c r="R112" t="s">
        <v>461</v>
      </c>
      <c r="S112" t="s">
        <v>462</v>
      </c>
    </row>
    <row r="113" spans="6:19" x14ac:dyDescent="0.25">
      <c r="F113">
        <v>260</v>
      </c>
      <c r="K113" s="18">
        <v>0</v>
      </c>
      <c r="L113" s="18" t="str">
        <f>VLOOKUP(K113,Rxn_dict[],2)</f>
        <v/>
      </c>
      <c r="M113" s="18" t="str">
        <f>VLOOKUP(K113,Rxn_dict[],3)</f>
        <v/>
      </c>
      <c r="Q113">
        <v>1070</v>
      </c>
      <c r="R113" t="s">
        <v>463</v>
      </c>
      <c r="S113" t="s">
        <v>462</v>
      </c>
    </row>
    <row r="114" spans="6:19" x14ac:dyDescent="0.25">
      <c r="F114">
        <v>405</v>
      </c>
      <c r="K114" s="18">
        <v>0</v>
      </c>
      <c r="L114" s="18" t="str">
        <f>VLOOKUP(K114,Rxn_dict[],2)</f>
        <v/>
      </c>
      <c r="M114" s="18" t="str">
        <f>VLOOKUP(K114,Rxn_dict[],3)</f>
        <v/>
      </c>
      <c r="Q114">
        <v>1074</v>
      </c>
      <c r="R114" t="s">
        <v>621</v>
      </c>
      <c r="S114" t="s">
        <v>622</v>
      </c>
    </row>
    <row r="115" spans="6:19" x14ac:dyDescent="0.25">
      <c r="F115">
        <v>551</v>
      </c>
      <c r="K115" s="18">
        <v>0</v>
      </c>
      <c r="L115" s="18" t="str">
        <f>VLOOKUP(K115,Rxn_dict[],2)</f>
        <v/>
      </c>
      <c r="M115" s="18" t="str">
        <f>VLOOKUP(K115,Rxn_dict[],3)</f>
        <v/>
      </c>
      <c r="Q115">
        <v>1121</v>
      </c>
      <c r="R115" t="s">
        <v>623</v>
      </c>
      <c r="S115" t="s">
        <v>624</v>
      </c>
    </row>
    <row r="116" spans="6:19" x14ac:dyDescent="0.25">
      <c r="F116">
        <v>573</v>
      </c>
      <c r="K116" s="18">
        <v>0</v>
      </c>
      <c r="L116" s="18" t="str">
        <f>VLOOKUP(K116,Rxn_dict[],2)</f>
        <v/>
      </c>
      <c r="M116" s="18" t="str">
        <f>VLOOKUP(K116,Rxn_dict[],3)</f>
        <v/>
      </c>
      <c r="Q116">
        <v>1123</v>
      </c>
      <c r="R116" t="s">
        <v>625</v>
      </c>
      <c r="S116" t="s">
        <v>626</v>
      </c>
    </row>
    <row r="117" spans="6:19" x14ac:dyDescent="0.25">
      <c r="F117">
        <v>575</v>
      </c>
      <c r="K117" s="18">
        <v>0</v>
      </c>
      <c r="L117" s="18" t="str">
        <f>VLOOKUP(K117,Rxn_dict[],2)</f>
        <v/>
      </c>
      <c r="M117" s="18" t="str">
        <f>VLOOKUP(K117,Rxn_dict[],3)</f>
        <v/>
      </c>
      <c r="Q117">
        <v>1126</v>
      </c>
      <c r="R117" t="s">
        <v>251</v>
      </c>
      <c r="S117" t="s">
        <v>252</v>
      </c>
    </row>
    <row r="118" spans="6:19" x14ac:dyDescent="0.25">
      <c r="F118">
        <v>660</v>
      </c>
      <c r="K118" s="18">
        <v>0</v>
      </c>
      <c r="L118" s="18" t="str">
        <f>VLOOKUP(K118,Rxn_dict[],2)</f>
        <v/>
      </c>
      <c r="M118" s="18" t="str">
        <f>VLOOKUP(K118,Rxn_dict[],3)</f>
        <v/>
      </c>
      <c r="Q118">
        <v>1130</v>
      </c>
      <c r="R118" t="s">
        <v>627</v>
      </c>
      <c r="S118" t="s">
        <v>628</v>
      </c>
    </row>
    <row r="119" spans="6:19" x14ac:dyDescent="0.25">
      <c r="F119">
        <v>835</v>
      </c>
      <c r="K119" s="18">
        <v>0</v>
      </c>
      <c r="L119" s="18" t="str">
        <f>VLOOKUP(K119,Rxn_dict[],2)</f>
        <v/>
      </c>
      <c r="M119" s="18" t="str">
        <f>VLOOKUP(K119,Rxn_dict[],3)</f>
        <v/>
      </c>
      <c r="Q119">
        <v>1132</v>
      </c>
      <c r="R119" t="s">
        <v>283</v>
      </c>
      <c r="S119" t="s">
        <v>284</v>
      </c>
    </row>
    <row r="120" spans="6:19" x14ac:dyDescent="0.25">
      <c r="F120">
        <v>842</v>
      </c>
      <c r="K120" s="18">
        <v>0</v>
      </c>
      <c r="L120" s="18" t="str">
        <f>VLOOKUP(K120,Rxn_dict[],2)</f>
        <v/>
      </c>
      <c r="M120" s="18" t="str">
        <f>VLOOKUP(K120,Rxn_dict[],3)</f>
        <v/>
      </c>
      <c r="Q120">
        <v>1138</v>
      </c>
      <c r="R120" t="s">
        <v>429</v>
      </c>
      <c r="S120" t="s">
        <v>430</v>
      </c>
    </row>
    <row r="121" spans="6:19" x14ac:dyDescent="0.25">
      <c r="F121">
        <v>942</v>
      </c>
      <c r="K121" s="18">
        <v>0</v>
      </c>
      <c r="L121" s="18" t="str">
        <f>VLOOKUP(K121,Rxn_dict[],2)</f>
        <v/>
      </c>
      <c r="M121" s="18" t="str">
        <f>VLOOKUP(K121,Rxn_dict[],3)</f>
        <v/>
      </c>
      <c r="Q121">
        <v>1150</v>
      </c>
      <c r="R121" t="s">
        <v>629</v>
      </c>
      <c r="S121" t="s">
        <v>630</v>
      </c>
    </row>
    <row r="122" spans="6:19" x14ac:dyDescent="0.25">
      <c r="F122">
        <v>1067</v>
      </c>
      <c r="K122" s="18">
        <v>0</v>
      </c>
      <c r="L122" s="18" t="str">
        <f>VLOOKUP(K122,Rxn_dict[],2)</f>
        <v/>
      </c>
      <c r="M122" s="18" t="str">
        <f>VLOOKUP(K122,Rxn_dict[],3)</f>
        <v/>
      </c>
      <c r="Q122">
        <v>1220</v>
      </c>
      <c r="R122" t="s">
        <v>377</v>
      </c>
      <c r="S122" t="s">
        <v>378</v>
      </c>
    </row>
    <row r="123" spans="6:19" x14ac:dyDescent="0.25">
      <c r="F123">
        <v>1074</v>
      </c>
      <c r="K123" s="18">
        <v>0</v>
      </c>
      <c r="L123" s="18" t="str">
        <f>VLOOKUP(K123,Rxn_dict[],2)</f>
        <v/>
      </c>
      <c r="M123" s="18" t="str">
        <f>VLOOKUP(K123,Rxn_dict[],3)</f>
        <v/>
      </c>
      <c r="Q123">
        <v>1227</v>
      </c>
      <c r="R123" t="s">
        <v>253</v>
      </c>
      <c r="S123" t="s">
        <v>254</v>
      </c>
    </row>
    <row r="124" spans="6:19" x14ac:dyDescent="0.25">
      <c r="F124">
        <v>1123</v>
      </c>
      <c r="K124" s="18">
        <v>0</v>
      </c>
      <c r="L124" s="18" t="str">
        <f>VLOOKUP(K124,Rxn_dict[],2)</f>
        <v/>
      </c>
      <c r="M124" s="18" t="str">
        <f>VLOOKUP(K124,Rxn_dict[],3)</f>
        <v/>
      </c>
      <c r="Q124">
        <v>1229</v>
      </c>
      <c r="R124" t="s">
        <v>285</v>
      </c>
      <c r="S124" t="s">
        <v>286</v>
      </c>
    </row>
    <row r="125" spans="6:19" x14ac:dyDescent="0.25">
      <c r="F125">
        <v>1516</v>
      </c>
      <c r="K125" s="18">
        <v>0</v>
      </c>
      <c r="L125" s="18" t="str">
        <f>VLOOKUP(K125,Rxn_dict[],2)</f>
        <v/>
      </c>
      <c r="M125" s="18" t="str">
        <f>VLOOKUP(K125,Rxn_dict[],3)</f>
        <v/>
      </c>
      <c r="Q125">
        <v>1230</v>
      </c>
      <c r="R125" t="s">
        <v>631</v>
      </c>
      <c r="S125" t="s">
        <v>632</v>
      </c>
    </row>
    <row r="126" spans="6:19" x14ac:dyDescent="0.25">
      <c r="F126">
        <v>1626</v>
      </c>
      <c r="K126" s="18">
        <v>0</v>
      </c>
      <c r="L126" s="18" t="str">
        <f>VLOOKUP(K126,Rxn_dict[],2)</f>
        <v/>
      </c>
      <c r="M126" s="18" t="str">
        <f>VLOOKUP(K126,Rxn_dict[],3)</f>
        <v/>
      </c>
      <c r="Q126">
        <v>1231</v>
      </c>
      <c r="R126" t="s">
        <v>633</v>
      </c>
      <c r="S126" t="s">
        <v>634</v>
      </c>
    </row>
    <row r="127" spans="6:19" x14ac:dyDescent="0.25">
      <c r="F127">
        <v>1654</v>
      </c>
      <c r="K127" s="18">
        <v>0</v>
      </c>
      <c r="L127" s="18" t="str">
        <f>VLOOKUP(K127,Rxn_dict[],2)</f>
        <v/>
      </c>
      <c r="M127" s="18" t="str">
        <f>VLOOKUP(K127,Rxn_dict[],3)</f>
        <v/>
      </c>
      <c r="Q127">
        <v>1271</v>
      </c>
      <c r="R127" t="s">
        <v>389</v>
      </c>
      <c r="S127" t="s">
        <v>390</v>
      </c>
    </row>
    <row r="128" spans="6:19" x14ac:dyDescent="0.25">
      <c r="F128">
        <v>1701</v>
      </c>
      <c r="K128" s="18">
        <v>0</v>
      </c>
      <c r="L128" s="18" t="str">
        <f>VLOOKUP(K128,Rxn_dict[],2)</f>
        <v/>
      </c>
      <c r="M128" s="18" t="str">
        <f>VLOOKUP(K128,Rxn_dict[],3)</f>
        <v/>
      </c>
      <c r="Q128">
        <v>1353</v>
      </c>
      <c r="R128" t="s">
        <v>277</v>
      </c>
      <c r="S128" t="s">
        <v>278</v>
      </c>
    </row>
    <row r="129" spans="6:19" x14ac:dyDescent="0.25">
      <c r="F129">
        <v>2081</v>
      </c>
      <c r="K129" s="18">
        <v>0</v>
      </c>
      <c r="L129" s="18" t="str">
        <f>VLOOKUP(K129,Rxn_dict[],2)</f>
        <v/>
      </c>
      <c r="M129" s="18" t="str">
        <f>VLOOKUP(K129,Rxn_dict[],3)</f>
        <v/>
      </c>
      <c r="Q129">
        <v>1395</v>
      </c>
      <c r="R129" t="s">
        <v>635</v>
      </c>
      <c r="S129" t="s">
        <v>636</v>
      </c>
    </row>
    <row r="130" spans="6:19" x14ac:dyDescent="0.25">
      <c r="F130">
        <v>2404</v>
      </c>
      <c r="K130" s="18">
        <v>0</v>
      </c>
      <c r="L130" s="18" t="str">
        <f>VLOOKUP(K130,Rxn_dict[],2)</f>
        <v/>
      </c>
      <c r="M130" s="18" t="str">
        <f>VLOOKUP(K130,Rxn_dict[],3)</f>
        <v/>
      </c>
      <c r="Q130">
        <v>1397</v>
      </c>
      <c r="R130" t="s">
        <v>637</v>
      </c>
      <c r="S130" t="s">
        <v>638</v>
      </c>
    </row>
    <row r="131" spans="6:19" x14ac:dyDescent="0.25">
      <c r="F131">
        <v>2768</v>
      </c>
      <c r="K131" s="18">
        <v>0</v>
      </c>
      <c r="L131" s="18" t="str">
        <f>VLOOKUP(K131,Rxn_dict[],2)</f>
        <v/>
      </c>
      <c r="M131" s="18" t="str">
        <f>VLOOKUP(K131,Rxn_dict[],3)</f>
        <v/>
      </c>
      <c r="Q131">
        <v>1404</v>
      </c>
      <c r="R131" t="s">
        <v>639</v>
      </c>
      <c r="S131" t="s">
        <v>640</v>
      </c>
    </row>
    <row r="132" spans="6:19" x14ac:dyDescent="0.25">
      <c r="F132">
        <v>2783</v>
      </c>
      <c r="K132" s="18">
        <v>0</v>
      </c>
      <c r="L132" s="18" t="str">
        <f>VLOOKUP(K132,Rxn_dict[],2)</f>
        <v/>
      </c>
      <c r="M132" s="18" t="str">
        <f>VLOOKUP(K132,Rxn_dict[],3)</f>
        <v/>
      </c>
      <c r="Q132">
        <v>1468</v>
      </c>
      <c r="R132" t="s">
        <v>1041</v>
      </c>
      <c r="S132" t="s">
        <v>1042</v>
      </c>
    </row>
    <row r="133" spans="6:19" x14ac:dyDescent="0.25">
      <c r="F133">
        <v>3066</v>
      </c>
      <c r="K133" s="18">
        <v>0</v>
      </c>
      <c r="L133" s="18" t="str">
        <f>VLOOKUP(K133,Rxn_dict[],2)</f>
        <v/>
      </c>
      <c r="M133" s="18" t="str">
        <f>VLOOKUP(K133,Rxn_dict[],3)</f>
        <v/>
      </c>
      <c r="Q133">
        <v>1512</v>
      </c>
      <c r="R133" t="s">
        <v>413</v>
      </c>
      <c r="S133" t="s">
        <v>414</v>
      </c>
    </row>
    <row r="134" spans="6:19" x14ac:dyDescent="0.25">
      <c r="F134">
        <v>3067</v>
      </c>
      <c r="K134" s="18">
        <v>0</v>
      </c>
      <c r="L134" s="18" t="str">
        <f>VLOOKUP(K134,Rxn_dict[],2)</f>
        <v/>
      </c>
      <c r="M134" s="18" t="str">
        <f>VLOOKUP(K134,Rxn_dict[],3)</f>
        <v/>
      </c>
      <c r="Q134">
        <v>1516</v>
      </c>
      <c r="R134" t="s">
        <v>641</v>
      </c>
      <c r="S134" t="s">
        <v>642</v>
      </c>
    </row>
    <row r="135" spans="6:19" x14ac:dyDescent="0.25">
      <c r="F135">
        <v>3084</v>
      </c>
      <c r="K135" s="18">
        <v>0</v>
      </c>
      <c r="L135" s="18" t="str">
        <f>VLOOKUP(K135,Rxn_dict[],2)</f>
        <v/>
      </c>
      <c r="M135" s="18" t="str">
        <f>VLOOKUP(K135,Rxn_dict[],3)</f>
        <v/>
      </c>
      <c r="Q135">
        <v>1518</v>
      </c>
      <c r="R135" t="s">
        <v>476</v>
      </c>
      <c r="S135" t="s">
        <v>477</v>
      </c>
    </row>
    <row r="136" spans="6:19" x14ac:dyDescent="0.25">
      <c r="F136">
        <v>3165</v>
      </c>
      <c r="K136" s="18">
        <v>0</v>
      </c>
      <c r="L136" s="18" t="str">
        <f>VLOOKUP(K136,Rxn_dict[],2)</f>
        <v/>
      </c>
      <c r="M136" s="18" t="str">
        <f>VLOOKUP(K136,Rxn_dict[],3)</f>
        <v/>
      </c>
      <c r="Q136">
        <v>1528</v>
      </c>
      <c r="R136" t="s">
        <v>643</v>
      </c>
      <c r="S136" t="s">
        <v>644</v>
      </c>
    </row>
    <row r="137" spans="6:19" x14ac:dyDescent="0.25">
      <c r="F137">
        <v>3193</v>
      </c>
      <c r="K137" s="18">
        <v>0</v>
      </c>
      <c r="L137" s="18" t="str">
        <f>VLOOKUP(K137,Rxn_dict[],2)</f>
        <v/>
      </c>
      <c r="M137" s="18" t="str">
        <f>VLOOKUP(K137,Rxn_dict[],3)</f>
        <v/>
      </c>
      <c r="Q137">
        <v>1529</v>
      </c>
      <c r="R137" t="s">
        <v>481</v>
      </c>
      <c r="S137" t="s">
        <v>482</v>
      </c>
    </row>
    <row r="138" spans="6:19" x14ac:dyDescent="0.25">
      <c r="F138">
        <v>3245</v>
      </c>
      <c r="K138" s="18">
        <v>0</v>
      </c>
      <c r="L138" s="18" t="str">
        <f>VLOOKUP(K138,Rxn_dict[],2)</f>
        <v/>
      </c>
      <c r="M138" s="18" t="str">
        <f>VLOOKUP(K138,Rxn_dict[],3)</f>
        <v/>
      </c>
      <c r="Q138">
        <v>1547</v>
      </c>
      <c r="R138" t="s">
        <v>303</v>
      </c>
      <c r="S138" t="s">
        <v>304</v>
      </c>
    </row>
    <row r="139" spans="6:19" x14ac:dyDescent="0.25">
      <c r="F139">
        <v>3460</v>
      </c>
      <c r="K139" s="18">
        <v>0</v>
      </c>
      <c r="L139" s="18" t="str">
        <f>VLOOKUP(K139,Rxn_dict[],2)</f>
        <v/>
      </c>
      <c r="M139" s="18" t="str">
        <f>VLOOKUP(K139,Rxn_dict[],3)</f>
        <v/>
      </c>
      <c r="Q139">
        <v>1561</v>
      </c>
      <c r="R139" t="s">
        <v>246</v>
      </c>
      <c r="S139" t="s">
        <v>415</v>
      </c>
    </row>
    <row r="140" spans="6:19" x14ac:dyDescent="0.25">
      <c r="F140">
        <v>3504</v>
      </c>
      <c r="K140" s="18">
        <v>0</v>
      </c>
      <c r="L140" s="18" t="str">
        <f>VLOOKUP(K140,Rxn_dict[],2)</f>
        <v/>
      </c>
      <c r="M140" s="18" t="str">
        <f>VLOOKUP(K140,Rxn_dict[],3)</f>
        <v/>
      </c>
      <c r="Q140">
        <v>1567</v>
      </c>
      <c r="R140" t="s">
        <v>512</v>
      </c>
      <c r="S140" t="s">
        <v>513</v>
      </c>
    </row>
    <row r="141" spans="6:19" x14ac:dyDescent="0.25">
      <c r="F141">
        <v>4150</v>
      </c>
      <c r="K141" s="18">
        <v>0</v>
      </c>
      <c r="L141" s="18" t="str">
        <f>VLOOKUP(K141,Rxn_dict[],2)</f>
        <v/>
      </c>
      <c r="M141" s="18" t="str">
        <f>VLOOKUP(K141,Rxn_dict[],3)</f>
        <v/>
      </c>
      <c r="Q141">
        <v>1569</v>
      </c>
      <c r="R141" t="s">
        <v>261</v>
      </c>
      <c r="S141" t="s">
        <v>262</v>
      </c>
    </row>
    <row r="142" spans="6:19" x14ac:dyDescent="0.25">
      <c r="F142">
        <v>4225</v>
      </c>
      <c r="K142" s="18">
        <v>0</v>
      </c>
      <c r="L142" s="18" t="str">
        <f>VLOOKUP(K142,Rxn_dict[],2)</f>
        <v/>
      </c>
      <c r="M142" s="18" t="str">
        <f>VLOOKUP(K142,Rxn_dict[],3)</f>
        <v/>
      </c>
      <c r="Q142">
        <v>1623</v>
      </c>
      <c r="R142" t="s">
        <v>1037</v>
      </c>
      <c r="S142" t="s">
        <v>1038</v>
      </c>
    </row>
    <row r="143" spans="6:19" x14ac:dyDescent="0.25">
      <c r="F143">
        <v>4316</v>
      </c>
      <c r="K143" s="18">
        <v>0</v>
      </c>
      <c r="L143" s="18" t="str">
        <f>VLOOKUP(K143,Rxn_dict[],2)</f>
        <v/>
      </c>
      <c r="M143" s="18" t="str">
        <f>VLOOKUP(K143,Rxn_dict[],3)</f>
        <v/>
      </c>
      <c r="Q143">
        <v>1625</v>
      </c>
      <c r="R143" t="s">
        <v>369</v>
      </c>
      <c r="S143" t="s">
        <v>370</v>
      </c>
    </row>
    <row r="144" spans="6:19" x14ac:dyDescent="0.25">
      <c r="F144">
        <v>4391</v>
      </c>
      <c r="K144" s="18">
        <v>0</v>
      </c>
      <c r="L144" s="18" t="str">
        <f>VLOOKUP(K144,Rxn_dict[],2)</f>
        <v/>
      </c>
      <c r="M144" s="18" t="str">
        <f>VLOOKUP(K144,Rxn_dict[],3)</f>
        <v/>
      </c>
      <c r="Q144">
        <v>1626</v>
      </c>
      <c r="R144" t="s">
        <v>645</v>
      </c>
      <c r="S144" t="s">
        <v>646</v>
      </c>
    </row>
    <row r="145" spans="6:19" x14ac:dyDescent="0.25">
      <c r="F145">
        <v>4566</v>
      </c>
      <c r="K145" s="18">
        <v>0</v>
      </c>
      <c r="L145" s="18" t="str">
        <f>VLOOKUP(K145,Rxn_dict[],2)</f>
        <v/>
      </c>
      <c r="M145" s="18" t="str">
        <f>VLOOKUP(K145,Rxn_dict[],3)</f>
        <v/>
      </c>
      <c r="Q145">
        <v>1641</v>
      </c>
      <c r="R145" t="s">
        <v>487</v>
      </c>
      <c r="S145" t="s">
        <v>488</v>
      </c>
    </row>
    <row r="146" spans="6:19" x14ac:dyDescent="0.25">
      <c r="F146">
        <v>4952</v>
      </c>
      <c r="K146" s="18">
        <v>0</v>
      </c>
      <c r="L146" s="18" t="str">
        <f>VLOOKUP(K146,Rxn_dict[],2)</f>
        <v/>
      </c>
      <c r="M146" s="18" t="str">
        <f>VLOOKUP(K146,Rxn_dict[],3)</f>
        <v/>
      </c>
      <c r="Q146">
        <v>1654</v>
      </c>
      <c r="R146" t="s">
        <v>647</v>
      </c>
      <c r="S146" t="s">
        <v>648</v>
      </c>
    </row>
    <row r="147" spans="6:19" x14ac:dyDescent="0.25">
      <c r="F147">
        <v>4956</v>
      </c>
      <c r="K147" s="18">
        <v>0</v>
      </c>
      <c r="L147" s="18" t="str">
        <f>VLOOKUP(K147,Rxn_dict[],2)</f>
        <v/>
      </c>
      <c r="M147" s="18" t="str">
        <f>VLOOKUP(K147,Rxn_dict[],3)</f>
        <v/>
      </c>
      <c r="Q147">
        <v>1655</v>
      </c>
      <c r="R147" t="s">
        <v>375</v>
      </c>
      <c r="S147" t="s">
        <v>376</v>
      </c>
    </row>
    <row r="148" spans="6:19" x14ac:dyDescent="0.25">
      <c r="F148">
        <v>4962</v>
      </c>
      <c r="K148" s="18">
        <v>0</v>
      </c>
      <c r="L148" s="18" t="str">
        <f>VLOOKUP(K148,Rxn_dict[],2)</f>
        <v/>
      </c>
      <c r="M148" s="18" t="str">
        <f>VLOOKUP(K148,Rxn_dict[],3)</f>
        <v/>
      </c>
      <c r="Q148">
        <v>1663</v>
      </c>
      <c r="R148" t="s">
        <v>263</v>
      </c>
      <c r="S148" t="s">
        <v>321</v>
      </c>
    </row>
    <row r="149" spans="6:19" x14ac:dyDescent="0.25">
      <c r="F149">
        <v>5662</v>
      </c>
      <c r="K149" s="18">
        <v>0</v>
      </c>
      <c r="L149" s="18" t="str">
        <f>VLOOKUP(K149,Rxn_dict[],2)</f>
        <v/>
      </c>
      <c r="M149" s="18" t="str">
        <f>VLOOKUP(K149,Rxn_dict[],3)</f>
        <v/>
      </c>
      <c r="Q149">
        <v>1664</v>
      </c>
      <c r="R149" t="s">
        <v>263</v>
      </c>
      <c r="S149" t="s">
        <v>264</v>
      </c>
    </row>
    <row r="150" spans="6:19" x14ac:dyDescent="0.25">
      <c r="F150">
        <v>6173</v>
      </c>
      <c r="K150" s="18">
        <v>0</v>
      </c>
      <c r="L150" s="18" t="str">
        <f>VLOOKUP(K150,Rxn_dict[],2)</f>
        <v/>
      </c>
      <c r="M150" s="18" t="str">
        <f>VLOOKUP(K150,Rxn_dict[],3)</f>
        <v/>
      </c>
      <c r="Q150">
        <v>1665</v>
      </c>
      <c r="R150" t="s">
        <v>313</v>
      </c>
      <c r="S150" t="s">
        <v>314</v>
      </c>
    </row>
    <row r="151" spans="6:19" x14ac:dyDescent="0.25">
      <c r="F151">
        <v>6174</v>
      </c>
      <c r="K151" s="18">
        <v>0</v>
      </c>
      <c r="L151" s="18" t="str">
        <f>VLOOKUP(K151,Rxn_dict[],2)</f>
        <v/>
      </c>
      <c r="M151" s="18" t="str">
        <f>VLOOKUP(K151,Rxn_dict[],3)</f>
        <v/>
      </c>
      <c r="Q151">
        <v>1666</v>
      </c>
      <c r="R151" t="s">
        <v>295</v>
      </c>
      <c r="S151" t="s">
        <v>296</v>
      </c>
    </row>
    <row r="152" spans="6:19" x14ac:dyDescent="0.25">
      <c r="F152">
        <v>6863</v>
      </c>
      <c r="K152" s="18">
        <v>0</v>
      </c>
      <c r="L152" s="18" t="str">
        <f>VLOOKUP(K152,Rxn_dict[],2)</f>
        <v/>
      </c>
      <c r="M152" s="18" t="str">
        <f>VLOOKUP(K152,Rxn_dict[],3)</f>
        <v/>
      </c>
      <c r="Q152">
        <v>1667</v>
      </c>
      <c r="R152" t="s">
        <v>325</v>
      </c>
      <c r="S152" t="s">
        <v>326</v>
      </c>
    </row>
    <row r="153" spans="6:19" x14ac:dyDescent="0.25">
      <c r="F153">
        <v>7263</v>
      </c>
      <c r="K153" s="18">
        <v>0</v>
      </c>
      <c r="L153" s="18" t="str">
        <f>VLOOKUP(K153,Rxn_dict[],2)</f>
        <v/>
      </c>
      <c r="M153" s="18" t="str">
        <f>VLOOKUP(K153,Rxn_dict[],3)</f>
        <v/>
      </c>
      <c r="Q153">
        <v>1668</v>
      </c>
      <c r="R153" t="s">
        <v>322</v>
      </c>
      <c r="S153" t="s">
        <v>324</v>
      </c>
    </row>
    <row r="154" spans="6:19" x14ac:dyDescent="0.25">
      <c r="F154">
        <v>7762</v>
      </c>
      <c r="K154" s="18">
        <v>0</v>
      </c>
      <c r="L154" s="18" t="str">
        <f>VLOOKUP(K154,Rxn_dict[],2)</f>
        <v/>
      </c>
      <c r="M154" s="18" t="str">
        <f>VLOOKUP(K154,Rxn_dict[],3)</f>
        <v/>
      </c>
      <c r="Q154">
        <v>1698</v>
      </c>
      <c r="R154" t="s">
        <v>649</v>
      </c>
      <c r="S154" t="s">
        <v>650</v>
      </c>
    </row>
    <row r="155" spans="6:19" x14ac:dyDescent="0.25">
      <c r="F155">
        <v>8244</v>
      </c>
      <c r="K155" s="18">
        <v>0</v>
      </c>
      <c r="L155" s="18" t="str">
        <f>VLOOKUP(K155,Rxn_dict[],2)</f>
        <v/>
      </c>
      <c r="M155" s="18" t="str">
        <f>VLOOKUP(K155,Rxn_dict[],3)</f>
        <v/>
      </c>
      <c r="Q155">
        <v>1699</v>
      </c>
      <c r="R155" t="s">
        <v>651</v>
      </c>
      <c r="S155" t="s">
        <v>652</v>
      </c>
    </row>
    <row r="156" spans="6:19" x14ac:dyDescent="0.25">
      <c r="F156">
        <v>12867</v>
      </c>
      <c r="K156" s="18">
        <v>0</v>
      </c>
      <c r="L156" s="18" t="str">
        <f>VLOOKUP(K156,Rxn_dict[],2)</f>
        <v/>
      </c>
      <c r="M156" s="18" t="str">
        <f>VLOOKUP(K156,Rxn_dict[],3)</f>
        <v/>
      </c>
      <c r="Q156">
        <v>1700</v>
      </c>
      <c r="R156" t="s">
        <v>1031</v>
      </c>
      <c r="S156" t="s">
        <v>1032</v>
      </c>
    </row>
    <row r="157" spans="6:19" x14ac:dyDescent="0.25">
      <c r="F157">
        <v>12873</v>
      </c>
      <c r="K157" s="18">
        <v>0</v>
      </c>
      <c r="L157" s="18" t="str">
        <f>VLOOKUP(K157,Rxn_dict[],2)</f>
        <v/>
      </c>
      <c r="M157" s="18" t="str">
        <f>VLOOKUP(K157,Rxn_dict[],3)</f>
        <v/>
      </c>
      <c r="Q157">
        <v>1701</v>
      </c>
      <c r="R157" t="s">
        <v>653</v>
      </c>
      <c r="S157" t="s">
        <v>654</v>
      </c>
    </row>
    <row r="158" spans="6:19" x14ac:dyDescent="0.25">
      <c r="F158">
        <v>12875</v>
      </c>
      <c r="K158" s="18">
        <v>0</v>
      </c>
      <c r="L158" s="18" t="str">
        <f>VLOOKUP(K158,Rxn_dict[],2)</f>
        <v/>
      </c>
      <c r="M158" s="18" t="str">
        <f>VLOOKUP(K158,Rxn_dict[],3)</f>
        <v/>
      </c>
      <c r="Q158">
        <v>1702</v>
      </c>
      <c r="R158" t="s">
        <v>655</v>
      </c>
      <c r="S158" t="s">
        <v>656</v>
      </c>
    </row>
    <row r="159" spans="6:19" x14ac:dyDescent="0.25">
      <c r="F159">
        <v>12885</v>
      </c>
      <c r="K159" s="18">
        <v>0</v>
      </c>
      <c r="L159" s="18" t="str">
        <f>VLOOKUP(K159,Rxn_dict[],2)</f>
        <v/>
      </c>
      <c r="M159" s="18" t="str">
        <f>VLOOKUP(K159,Rxn_dict[],3)</f>
        <v/>
      </c>
      <c r="Q159">
        <v>1714</v>
      </c>
      <c r="R159" t="s">
        <v>657</v>
      </c>
      <c r="S159" t="s">
        <v>658</v>
      </c>
    </row>
    <row r="160" spans="6:19" x14ac:dyDescent="0.25">
      <c r="F160">
        <v>12904</v>
      </c>
      <c r="K160" s="18">
        <v>0</v>
      </c>
      <c r="L160" s="18" t="str">
        <f>VLOOKUP(K160,Rxn_dict[],2)</f>
        <v/>
      </c>
      <c r="M160" s="18" t="str">
        <f>VLOOKUP(K160,Rxn_dict[],3)</f>
        <v/>
      </c>
      <c r="Q160">
        <v>1724</v>
      </c>
      <c r="R160" t="s">
        <v>659</v>
      </c>
      <c r="S160" t="s">
        <v>660</v>
      </c>
    </row>
    <row r="161" spans="17:19" x14ac:dyDescent="0.25">
      <c r="Q161">
        <v>1799</v>
      </c>
      <c r="R161" t="s">
        <v>399</v>
      </c>
      <c r="S161" t="s">
        <v>400</v>
      </c>
    </row>
    <row r="162" spans="17:19" x14ac:dyDescent="0.25">
      <c r="Q162">
        <v>1800</v>
      </c>
      <c r="R162" t="s">
        <v>309</v>
      </c>
      <c r="S162" t="s">
        <v>310</v>
      </c>
    </row>
    <row r="163" spans="17:19" x14ac:dyDescent="0.25">
      <c r="Q163">
        <v>1801</v>
      </c>
      <c r="R163" t="s">
        <v>307</v>
      </c>
      <c r="S163" t="s">
        <v>308</v>
      </c>
    </row>
    <row r="164" spans="17:19" x14ac:dyDescent="0.25">
      <c r="Q164">
        <v>1819</v>
      </c>
      <c r="R164" t="s">
        <v>497</v>
      </c>
      <c r="S164" t="s">
        <v>469</v>
      </c>
    </row>
    <row r="165" spans="17:19" x14ac:dyDescent="0.25">
      <c r="Q165">
        <v>1827</v>
      </c>
      <c r="R165" t="s">
        <v>487</v>
      </c>
      <c r="S165" t="s">
        <v>520</v>
      </c>
    </row>
    <row r="166" spans="17:19" x14ac:dyDescent="0.25">
      <c r="Q166">
        <v>1829</v>
      </c>
      <c r="R166" t="s">
        <v>464</v>
      </c>
      <c r="S166" t="s">
        <v>465</v>
      </c>
    </row>
    <row r="167" spans="17:19" x14ac:dyDescent="0.25">
      <c r="Q167">
        <v>1830</v>
      </c>
      <c r="R167" t="s">
        <v>491</v>
      </c>
      <c r="S167" t="s">
        <v>490</v>
      </c>
    </row>
    <row r="168" spans="17:19" x14ac:dyDescent="0.25">
      <c r="Q168">
        <v>1843</v>
      </c>
      <c r="R168" t="s">
        <v>273</v>
      </c>
      <c r="S168" t="s">
        <v>274</v>
      </c>
    </row>
    <row r="169" spans="17:19" x14ac:dyDescent="0.25">
      <c r="Q169">
        <v>1858</v>
      </c>
      <c r="R169" t="s">
        <v>431</v>
      </c>
      <c r="S169" t="s">
        <v>432</v>
      </c>
    </row>
    <row r="170" spans="17:19" x14ac:dyDescent="0.25">
      <c r="Q170">
        <v>1863</v>
      </c>
      <c r="R170" t="s">
        <v>252</v>
      </c>
      <c r="S170" t="s">
        <v>416</v>
      </c>
    </row>
    <row r="171" spans="17:19" x14ac:dyDescent="0.25">
      <c r="Q171">
        <v>1870</v>
      </c>
      <c r="R171" t="s">
        <v>661</v>
      </c>
      <c r="S171" t="s">
        <v>662</v>
      </c>
    </row>
    <row r="172" spans="17:19" x14ac:dyDescent="0.25">
      <c r="Q172">
        <v>1878</v>
      </c>
      <c r="R172" t="s">
        <v>663</v>
      </c>
      <c r="S172" t="s">
        <v>664</v>
      </c>
    </row>
    <row r="173" spans="17:19" x14ac:dyDescent="0.25">
      <c r="Q173">
        <v>1967</v>
      </c>
      <c r="R173" t="s">
        <v>329</v>
      </c>
      <c r="S173" t="s">
        <v>330</v>
      </c>
    </row>
    <row r="174" spans="17:19" x14ac:dyDescent="0.25">
      <c r="Q174">
        <v>1968</v>
      </c>
      <c r="R174" t="s">
        <v>265</v>
      </c>
      <c r="S174" t="s">
        <v>266</v>
      </c>
    </row>
    <row r="175" spans="17:19" x14ac:dyDescent="0.25">
      <c r="Q175">
        <v>1969</v>
      </c>
      <c r="R175" t="s">
        <v>266</v>
      </c>
      <c r="S175" t="s">
        <v>419</v>
      </c>
    </row>
    <row r="176" spans="17:19" x14ac:dyDescent="0.25">
      <c r="Q176">
        <v>1993</v>
      </c>
      <c r="R176" t="s">
        <v>665</v>
      </c>
      <c r="S176" t="s">
        <v>666</v>
      </c>
    </row>
    <row r="177" spans="17:19" x14ac:dyDescent="0.25">
      <c r="Q177">
        <v>2016</v>
      </c>
      <c r="R177" t="s">
        <v>667</v>
      </c>
      <c r="S177" t="s">
        <v>668</v>
      </c>
    </row>
    <row r="178" spans="17:19" x14ac:dyDescent="0.25">
      <c r="Q178">
        <v>2017</v>
      </c>
      <c r="R178" t="s">
        <v>435</v>
      </c>
      <c r="S178" t="s">
        <v>436</v>
      </c>
    </row>
    <row r="179" spans="17:19" x14ac:dyDescent="0.25">
      <c r="Q179">
        <v>2018</v>
      </c>
      <c r="R179" t="s">
        <v>437</v>
      </c>
      <c r="S179" t="s">
        <v>438</v>
      </c>
    </row>
    <row r="180" spans="17:19" x14ac:dyDescent="0.25">
      <c r="Q180">
        <v>2019</v>
      </c>
      <c r="R180" t="s">
        <v>439</v>
      </c>
      <c r="S180" t="s">
        <v>440</v>
      </c>
    </row>
    <row r="181" spans="17:19" x14ac:dyDescent="0.25">
      <c r="Q181">
        <v>2024</v>
      </c>
      <c r="R181" t="s">
        <v>441</v>
      </c>
      <c r="S181" t="s">
        <v>442</v>
      </c>
    </row>
    <row r="182" spans="17:19" x14ac:dyDescent="0.25">
      <c r="Q182">
        <v>2029</v>
      </c>
      <c r="R182" t="s">
        <v>411</v>
      </c>
      <c r="S182" t="s">
        <v>412</v>
      </c>
    </row>
    <row r="183" spans="17:19" x14ac:dyDescent="0.25">
      <c r="Q183">
        <v>2055</v>
      </c>
      <c r="R183" t="s">
        <v>504</v>
      </c>
      <c r="S183" t="s">
        <v>505</v>
      </c>
    </row>
    <row r="184" spans="17:19" x14ac:dyDescent="0.25">
      <c r="Q184">
        <v>2059</v>
      </c>
      <c r="R184" t="s">
        <v>379</v>
      </c>
      <c r="S184" t="s">
        <v>380</v>
      </c>
    </row>
    <row r="185" spans="17:19" x14ac:dyDescent="0.25">
      <c r="Q185">
        <v>2081</v>
      </c>
      <c r="R185" t="s">
        <v>669</v>
      </c>
      <c r="S185" t="s">
        <v>670</v>
      </c>
    </row>
    <row r="186" spans="17:19" x14ac:dyDescent="0.25">
      <c r="Q186">
        <v>2087</v>
      </c>
      <c r="R186" t="s">
        <v>379</v>
      </c>
      <c r="S186" t="s">
        <v>503</v>
      </c>
    </row>
    <row r="187" spans="17:19" x14ac:dyDescent="0.25">
      <c r="Q187">
        <v>2088</v>
      </c>
      <c r="R187" t="s">
        <v>267</v>
      </c>
      <c r="S187" t="s">
        <v>268</v>
      </c>
    </row>
    <row r="188" spans="17:19" x14ac:dyDescent="0.25">
      <c r="Q188">
        <v>2089</v>
      </c>
      <c r="R188" t="s">
        <v>327</v>
      </c>
      <c r="S188" t="s">
        <v>328</v>
      </c>
    </row>
    <row r="189" spans="17:19" x14ac:dyDescent="0.25">
      <c r="Q189">
        <v>2090</v>
      </c>
      <c r="R189" t="s">
        <v>367</v>
      </c>
      <c r="S189" t="s">
        <v>368</v>
      </c>
    </row>
    <row r="190" spans="17:19" x14ac:dyDescent="0.25">
      <c r="Q190">
        <v>2093</v>
      </c>
      <c r="R190" t="s">
        <v>529</v>
      </c>
      <c r="S190" t="s">
        <v>530</v>
      </c>
    </row>
    <row r="191" spans="17:19" x14ac:dyDescent="0.25">
      <c r="Q191">
        <v>2094</v>
      </c>
      <c r="R191" t="s">
        <v>335</v>
      </c>
      <c r="S191" t="s">
        <v>336</v>
      </c>
    </row>
    <row r="192" spans="17:19" x14ac:dyDescent="0.25">
      <c r="Q192">
        <v>2098</v>
      </c>
      <c r="R192" t="s">
        <v>337</v>
      </c>
      <c r="S192" t="s">
        <v>338</v>
      </c>
    </row>
    <row r="193" spans="17:19" x14ac:dyDescent="0.25">
      <c r="Q193">
        <v>2099</v>
      </c>
      <c r="R193" t="s">
        <v>514</v>
      </c>
      <c r="S193" t="s">
        <v>515</v>
      </c>
    </row>
    <row r="194" spans="17:19" x14ac:dyDescent="0.25">
      <c r="Q194">
        <v>2100</v>
      </c>
      <c r="R194" t="s">
        <v>339</v>
      </c>
      <c r="S194" t="s">
        <v>340</v>
      </c>
    </row>
    <row r="195" spans="17:19" x14ac:dyDescent="0.25">
      <c r="Q195">
        <v>2101</v>
      </c>
      <c r="R195" t="s">
        <v>518</v>
      </c>
      <c r="S195" t="s">
        <v>519</v>
      </c>
    </row>
    <row r="196" spans="17:19" x14ac:dyDescent="0.25">
      <c r="Q196">
        <v>2102</v>
      </c>
      <c r="R196" t="s">
        <v>269</v>
      </c>
      <c r="S196" t="s">
        <v>270</v>
      </c>
    </row>
    <row r="197" spans="17:19" x14ac:dyDescent="0.25">
      <c r="Q197">
        <v>2135</v>
      </c>
      <c r="R197" t="s">
        <v>964</v>
      </c>
      <c r="S197" t="s">
        <v>965</v>
      </c>
    </row>
    <row r="198" spans="17:19" x14ac:dyDescent="0.25">
      <c r="Q198">
        <v>2142</v>
      </c>
      <c r="R198" t="s">
        <v>287</v>
      </c>
      <c r="S198" t="s">
        <v>288</v>
      </c>
    </row>
    <row r="199" spans="17:19" x14ac:dyDescent="0.25">
      <c r="Q199">
        <v>2147</v>
      </c>
      <c r="R199" t="s">
        <v>254</v>
      </c>
      <c r="S199" t="s">
        <v>417</v>
      </c>
    </row>
    <row r="200" spans="17:19" x14ac:dyDescent="0.25">
      <c r="Q200">
        <v>2235</v>
      </c>
      <c r="R200" t="s">
        <v>333</v>
      </c>
      <c r="S200" t="s">
        <v>334</v>
      </c>
    </row>
    <row r="201" spans="17:19" x14ac:dyDescent="0.25">
      <c r="Q201">
        <v>2236</v>
      </c>
      <c r="R201" t="s">
        <v>671</v>
      </c>
      <c r="S201" t="s">
        <v>672</v>
      </c>
    </row>
    <row r="202" spans="17:19" x14ac:dyDescent="0.25">
      <c r="Q202">
        <v>2237</v>
      </c>
      <c r="R202" t="s">
        <v>349</v>
      </c>
      <c r="S202" t="s">
        <v>350</v>
      </c>
    </row>
    <row r="203" spans="17:19" x14ac:dyDescent="0.25">
      <c r="Q203">
        <v>2239</v>
      </c>
      <c r="R203" t="s">
        <v>401</v>
      </c>
      <c r="S203" t="s">
        <v>402</v>
      </c>
    </row>
    <row r="204" spans="17:19" x14ac:dyDescent="0.25">
      <c r="Q204">
        <v>2241</v>
      </c>
      <c r="R204" t="s">
        <v>241</v>
      </c>
      <c r="S204" t="s">
        <v>242</v>
      </c>
    </row>
    <row r="205" spans="17:19" x14ac:dyDescent="0.25">
      <c r="Q205">
        <v>2294</v>
      </c>
      <c r="R205" t="s">
        <v>256</v>
      </c>
      <c r="S205" t="s">
        <v>423</v>
      </c>
    </row>
    <row r="206" spans="17:19" x14ac:dyDescent="0.25">
      <c r="Q206">
        <v>2295</v>
      </c>
      <c r="R206" t="s">
        <v>260</v>
      </c>
      <c r="S206" t="s">
        <v>424</v>
      </c>
    </row>
    <row r="207" spans="17:19" x14ac:dyDescent="0.25">
      <c r="Q207">
        <v>2297</v>
      </c>
      <c r="R207" t="s">
        <v>258</v>
      </c>
      <c r="S207" t="s">
        <v>418</v>
      </c>
    </row>
    <row r="208" spans="17:19" x14ac:dyDescent="0.25">
      <c r="Q208">
        <v>2301</v>
      </c>
      <c r="R208" t="s">
        <v>353</v>
      </c>
      <c r="S208" t="s">
        <v>354</v>
      </c>
    </row>
    <row r="209" spans="17:19" x14ac:dyDescent="0.25">
      <c r="Q209">
        <v>2320</v>
      </c>
      <c r="R209" t="s">
        <v>673</v>
      </c>
      <c r="S209" t="s">
        <v>674</v>
      </c>
    </row>
    <row r="210" spans="17:19" x14ac:dyDescent="0.25">
      <c r="Q210">
        <v>2323</v>
      </c>
      <c r="R210" t="s">
        <v>255</v>
      </c>
      <c r="S210" t="s">
        <v>256</v>
      </c>
    </row>
    <row r="211" spans="17:19" x14ac:dyDescent="0.25">
      <c r="Q211">
        <v>2325</v>
      </c>
      <c r="R211" t="s">
        <v>322</v>
      </c>
      <c r="S211" t="s">
        <v>323</v>
      </c>
    </row>
    <row r="212" spans="17:19" x14ac:dyDescent="0.25">
      <c r="Q212">
        <v>2326</v>
      </c>
      <c r="R212" t="s">
        <v>531</v>
      </c>
      <c r="S212" t="s">
        <v>532</v>
      </c>
    </row>
    <row r="213" spans="17:19" x14ac:dyDescent="0.25">
      <c r="Q213">
        <v>2331</v>
      </c>
      <c r="R213" t="s">
        <v>533</v>
      </c>
      <c r="S213" t="s">
        <v>534</v>
      </c>
    </row>
    <row r="214" spans="17:19" x14ac:dyDescent="0.25">
      <c r="Q214">
        <v>2404</v>
      </c>
      <c r="R214" t="s">
        <v>675</v>
      </c>
      <c r="S214" t="s">
        <v>676</v>
      </c>
    </row>
    <row r="215" spans="17:19" x14ac:dyDescent="0.25">
      <c r="Q215">
        <v>2412</v>
      </c>
      <c r="R215" t="s">
        <v>677</v>
      </c>
      <c r="S215" t="s">
        <v>678</v>
      </c>
    </row>
    <row r="216" spans="17:19" x14ac:dyDescent="0.25">
      <c r="Q216">
        <v>2413</v>
      </c>
      <c r="R216" t="s">
        <v>679</v>
      </c>
      <c r="S216" t="s">
        <v>680</v>
      </c>
    </row>
    <row r="217" spans="17:19" x14ac:dyDescent="0.25">
      <c r="Q217">
        <v>2485</v>
      </c>
      <c r="R217" t="s">
        <v>681</v>
      </c>
      <c r="S217" t="s">
        <v>682</v>
      </c>
    </row>
    <row r="218" spans="17:19" x14ac:dyDescent="0.25">
      <c r="Q218">
        <v>2557</v>
      </c>
      <c r="R218" t="s">
        <v>268</v>
      </c>
      <c r="S218" t="s">
        <v>420</v>
      </c>
    </row>
    <row r="219" spans="17:19" x14ac:dyDescent="0.25">
      <c r="Q219">
        <v>2568</v>
      </c>
      <c r="R219" t="s">
        <v>466</v>
      </c>
      <c r="S219" t="s">
        <v>467</v>
      </c>
    </row>
    <row r="220" spans="17:19" x14ac:dyDescent="0.25">
      <c r="Q220">
        <v>2569</v>
      </c>
      <c r="R220" t="s">
        <v>459</v>
      </c>
      <c r="S220" t="s">
        <v>460</v>
      </c>
    </row>
    <row r="221" spans="17:19" x14ac:dyDescent="0.25">
      <c r="Q221">
        <v>2570</v>
      </c>
      <c r="R221" t="s">
        <v>1010</v>
      </c>
      <c r="S221" t="s">
        <v>1011</v>
      </c>
    </row>
    <row r="222" spans="17:19" x14ac:dyDescent="0.25">
      <c r="Q222">
        <v>2571</v>
      </c>
      <c r="R222" t="s">
        <v>1012</v>
      </c>
      <c r="S222" t="s">
        <v>1013</v>
      </c>
    </row>
    <row r="223" spans="17:19" x14ac:dyDescent="0.25">
      <c r="Q223">
        <v>2617</v>
      </c>
      <c r="R223" t="s">
        <v>966</v>
      </c>
      <c r="S223" t="s">
        <v>967</v>
      </c>
    </row>
    <row r="224" spans="17:19" x14ac:dyDescent="0.25">
      <c r="Q224">
        <v>2628</v>
      </c>
      <c r="R224" t="s">
        <v>968</v>
      </c>
      <c r="S224" t="s">
        <v>969</v>
      </c>
    </row>
    <row r="225" spans="17:19" x14ac:dyDescent="0.25">
      <c r="Q225">
        <v>2691</v>
      </c>
      <c r="R225" t="s">
        <v>239</v>
      </c>
      <c r="S225" t="s">
        <v>240</v>
      </c>
    </row>
    <row r="226" spans="17:19" x14ac:dyDescent="0.25">
      <c r="Q226">
        <v>2705</v>
      </c>
      <c r="R226" t="s">
        <v>383</v>
      </c>
      <c r="S226" t="s">
        <v>384</v>
      </c>
    </row>
    <row r="227" spans="17:19" x14ac:dyDescent="0.25">
      <c r="Q227">
        <v>2718</v>
      </c>
      <c r="R227" t="s">
        <v>683</v>
      </c>
      <c r="S227" t="s">
        <v>684</v>
      </c>
    </row>
    <row r="228" spans="17:19" x14ac:dyDescent="0.25">
      <c r="Q228">
        <v>2719</v>
      </c>
      <c r="R228" t="s">
        <v>257</v>
      </c>
      <c r="S228" t="s">
        <v>258</v>
      </c>
    </row>
    <row r="229" spans="17:19" x14ac:dyDescent="0.25">
      <c r="Q229">
        <v>2736</v>
      </c>
      <c r="R229" t="s">
        <v>685</v>
      </c>
      <c r="S229" t="s">
        <v>607</v>
      </c>
    </row>
    <row r="230" spans="17:19" x14ac:dyDescent="0.25">
      <c r="Q230">
        <v>2738</v>
      </c>
      <c r="R230" t="s">
        <v>535</v>
      </c>
      <c r="S230" t="s">
        <v>536</v>
      </c>
    </row>
    <row r="231" spans="17:19" x14ac:dyDescent="0.25">
      <c r="Q231">
        <v>2739</v>
      </c>
      <c r="R231" t="s">
        <v>468</v>
      </c>
      <c r="S231" t="s">
        <v>472</v>
      </c>
    </row>
    <row r="232" spans="17:19" x14ac:dyDescent="0.25">
      <c r="Q232">
        <v>2740</v>
      </c>
      <c r="R232" t="s">
        <v>468</v>
      </c>
      <c r="S232" t="s">
        <v>469</v>
      </c>
    </row>
    <row r="233" spans="17:19" x14ac:dyDescent="0.25">
      <c r="Q233">
        <v>2748</v>
      </c>
      <c r="R233" t="s">
        <v>421</v>
      </c>
      <c r="S233" t="s">
        <v>422</v>
      </c>
    </row>
    <row r="234" spans="17:19" x14ac:dyDescent="0.25">
      <c r="Q234">
        <v>2749</v>
      </c>
      <c r="R234" t="s">
        <v>485</v>
      </c>
      <c r="S234" t="s">
        <v>486</v>
      </c>
    </row>
    <row r="235" spans="17:19" x14ac:dyDescent="0.25">
      <c r="Q235">
        <v>2760</v>
      </c>
      <c r="R235" t="s">
        <v>686</v>
      </c>
      <c r="S235" t="s">
        <v>687</v>
      </c>
    </row>
    <row r="236" spans="17:19" x14ac:dyDescent="0.25">
      <c r="Q236">
        <v>2767</v>
      </c>
      <c r="R236" t="s">
        <v>688</v>
      </c>
      <c r="S236" t="s">
        <v>689</v>
      </c>
    </row>
    <row r="237" spans="17:19" x14ac:dyDescent="0.25">
      <c r="Q237">
        <v>2768</v>
      </c>
      <c r="R237" t="s">
        <v>690</v>
      </c>
      <c r="S237" t="s">
        <v>691</v>
      </c>
    </row>
    <row r="238" spans="17:19" x14ac:dyDescent="0.25">
      <c r="Q238">
        <v>2783</v>
      </c>
      <c r="R238" t="s">
        <v>692</v>
      </c>
      <c r="S238" t="s">
        <v>693</v>
      </c>
    </row>
    <row r="239" spans="17:19" x14ac:dyDescent="0.25">
      <c r="Q239">
        <v>2788</v>
      </c>
      <c r="R239" t="s">
        <v>694</v>
      </c>
      <c r="S239" t="s">
        <v>695</v>
      </c>
    </row>
    <row r="240" spans="17:19" x14ac:dyDescent="0.25">
      <c r="Q240">
        <v>2918</v>
      </c>
      <c r="R240" t="s">
        <v>696</v>
      </c>
      <c r="S240" t="s">
        <v>697</v>
      </c>
    </row>
    <row r="241" spans="17:19" x14ac:dyDescent="0.25">
      <c r="Q241">
        <v>2971</v>
      </c>
      <c r="R241" t="s">
        <v>698</v>
      </c>
      <c r="S241" t="s">
        <v>699</v>
      </c>
    </row>
    <row r="242" spans="17:19" x14ac:dyDescent="0.25">
      <c r="Q242">
        <v>2984</v>
      </c>
      <c r="R242" t="s">
        <v>970</v>
      </c>
      <c r="S242" t="s">
        <v>971</v>
      </c>
    </row>
    <row r="243" spans="17:19" x14ac:dyDescent="0.25">
      <c r="Q243">
        <v>3005</v>
      </c>
      <c r="R243" t="s">
        <v>391</v>
      </c>
      <c r="S243" t="s">
        <v>392</v>
      </c>
    </row>
    <row r="244" spans="17:19" x14ac:dyDescent="0.25">
      <c r="Q244">
        <v>3018</v>
      </c>
      <c r="R244" t="s">
        <v>700</v>
      </c>
      <c r="S244" t="s">
        <v>701</v>
      </c>
    </row>
    <row r="245" spans="17:19" x14ac:dyDescent="0.25">
      <c r="Q245">
        <v>3020</v>
      </c>
      <c r="R245" t="s">
        <v>702</v>
      </c>
      <c r="S245" t="s">
        <v>703</v>
      </c>
    </row>
    <row r="246" spans="17:19" x14ac:dyDescent="0.25">
      <c r="Q246">
        <v>3035</v>
      </c>
      <c r="R246" t="s">
        <v>704</v>
      </c>
      <c r="S246" t="s">
        <v>705</v>
      </c>
    </row>
    <row r="247" spans="17:19" x14ac:dyDescent="0.25">
      <c r="Q247">
        <v>3038</v>
      </c>
      <c r="R247" t="s">
        <v>706</v>
      </c>
      <c r="S247" t="s">
        <v>707</v>
      </c>
    </row>
    <row r="248" spans="17:19" x14ac:dyDescent="0.25">
      <c r="Q248">
        <v>3066</v>
      </c>
      <c r="R248" t="s">
        <v>708</v>
      </c>
      <c r="S248" t="s">
        <v>709</v>
      </c>
    </row>
    <row r="249" spans="17:19" x14ac:dyDescent="0.25">
      <c r="Q249">
        <v>3067</v>
      </c>
      <c r="R249" t="s">
        <v>710</v>
      </c>
      <c r="S249" t="s">
        <v>711</v>
      </c>
    </row>
    <row r="250" spans="17:19" x14ac:dyDescent="0.25">
      <c r="Q250">
        <v>3083</v>
      </c>
      <c r="R250" t="s">
        <v>712</v>
      </c>
      <c r="S250" t="s">
        <v>713</v>
      </c>
    </row>
    <row r="251" spans="17:19" x14ac:dyDescent="0.25">
      <c r="Q251">
        <v>3084</v>
      </c>
      <c r="R251" t="s">
        <v>714</v>
      </c>
      <c r="S251" t="s">
        <v>715</v>
      </c>
    </row>
    <row r="252" spans="17:19" x14ac:dyDescent="0.25">
      <c r="Q252">
        <v>3104</v>
      </c>
      <c r="R252" t="s">
        <v>972</v>
      </c>
      <c r="S252" t="s">
        <v>973</v>
      </c>
    </row>
    <row r="253" spans="17:19" x14ac:dyDescent="0.25">
      <c r="Q253">
        <v>3165</v>
      </c>
      <c r="R253" t="s">
        <v>716</v>
      </c>
      <c r="S253" t="s">
        <v>717</v>
      </c>
    </row>
    <row r="254" spans="17:19" x14ac:dyDescent="0.25">
      <c r="Q254">
        <v>3191</v>
      </c>
      <c r="R254" t="s">
        <v>718</v>
      </c>
      <c r="S254" t="s">
        <v>719</v>
      </c>
    </row>
    <row r="255" spans="17:19" x14ac:dyDescent="0.25">
      <c r="Q255">
        <v>3192</v>
      </c>
      <c r="R255" t="s">
        <v>720</v>
      </c>
      <c r="S255" t="s">
        <v>721</v>
      </c>
    </row>
    <row r="256" spans="17:19" x14ac:dyDescent="0.25">
      <c r="Q256">
        <v>3193</v>
      </c>
      <c r="R256" t="s">
        <v>722</v>
      </c>
      <c r="S256" t="s">
        <v>723</v>
      </c>
    </row>
    <row r="257" spans="17:19" x14ac:dyDescent="0.25">
      <c r="Q257">
        <v>3197</v>
      </c>
      <c r="R257" t="s">
        <v>717</v>
      </c>
      <c r="S257" t="s">
        <v>724</v>
      </c>
    </row>
    <row r="258" spans="17:19" x14ac:dyDescent="0.25">
      <c r="Q258">
        <v>3236</v>
      </c>
      <c r="R258" t="s">
        <v>725</v>
      </c>
      <c r="S258" t="s">
        <v>726</v>
      </c>
    </row>
    <row r="259" spans="17:19" x14ac:dyDescent="0.25">
      <c r="Q259">
        <v>3237</v>
      </c>
      <c r="R259" t="s">
        <v>727</v>
      </c>
      <c r="S259" t="s">
        <v>728</v>
      </c>
    </row>
    <row r="260" spans="17:19" x14ac:dyDescent="0.25">
      <c r="Q260">
        <v>3238</v>
      </c>
      <c r="R260" t="s">
        <v>729</v>
      </c>
      <c r="S260" t="s">
        <v>730</v>
      </c>
    </row>
    <row r="261" spans="17:19" x14ac:dyDescent="0.25">
      <c r="Q261">
        <v>3239</v>
      </c>
      <c r="R261" t="s">
        <v>731</v>
      </c>
      <c r="S261" t="s">
        <v>732</v>
      </c>
    </row>
    <row r="262" spans="17:19" x14ac:dyDescent="0.25">
      <c r="Q262">
        <v>3245</v>
      </c>
      <c r="R262" t="s">
        <v>733</v>
      </c>
      <c r="S262" t="s">
        <v>734</v>
      </c>
    </row>
    <row r="263" spans="17:19" x14ac:dyDescent="0.25">
      <c r="Q263">
        <v>3270</v>
      </c>
      <c r="R263" t="s">
        <v>457</v>
      </c>
      <c r="S263" t="s">
        <v>458</v>
      </c>
    </row>
    <row r="264" spans="17:19" x14ac:dyDescent="0.25">
      <c r="Q264">
        <v>3316</v>
      </c>
      <c r="R264" t="s">
        <v>1035</v>
      </c>
      <c r="S264" t="s">
        <v>1036</v>
      </c>
    </row>
    <row r="265" spans="17:19" x14ac:dyDescent="0.25">
      <c r="Q265">
        <v>3319</v>
      </c>
      <c r="R265" t="s">
        <v>735</v>
      </c>
      <c r="S265" t="s">
        <v>736</v>
      </c>
    </row>
    <row r="266" spans="17:19" x14ac:dyDescent="0.25">
      <c r="Q266">
        <v>3321</v>
      </c>
      <c r="R266" t="s">
        <v>472</v>
      </c>
      <c r="S266" t="s">
        <v>469</v>
      </c>
    </row>
    <row r="267" spans="17:19" x14ac:dyDescent="0.25">
      <c r="Q267">
        <v>3346</v>
      </c>
      <c r="R267" t="s">
        <v>259</v>
      </c>
      <c r="S267" t="s">
        <v>260</v>
      </c>
    </row>
    <row r="268" spans="17:19" x14ac:dyDescent="0.25">
      <c r="Q268">
        <v>3460</v>
      </c>
      <c r="R268" t="s">
        <v>737</v>
      </c>
      <c r="S268" t="s">
        <v>738</v>
      </c>
    </row>
    <row r="269" spans="17:19" x14ac:dyDescent="0.25">
      <c r="Q269">
        <v>3503</v>
      </c>
      <c r="R269" t="s">
        <v>739</v>
      </c>
      <c r="S269" t="s">
        <v>740</v>
      </c>
    </row>
    <row r="270" spans="17:19" x14ac:dyDescent="0.25">
      <c r="Q270">
        <v>3504</v>
      </c>
      <c r="R270" t="s">
        <v>741</v>
      </c>
      <c r="S270" t="s">
        <v>742</v>
      </c>
    </row>
    <row r="271" spans="17:19" x14ac:dyDescent="0.25">
      <c r="Q271">
        <v>3596</v>
      </c>
      <c r="R271" t="s">
        <v>508</v>
      </c>
      <c r="S271" t="s">
        <v>509</v>
      </c>
    </row>
    <row r="272" spans="17:19" x14ac:dyDescent="0.25">
      <c r="Q272">
        <v>3632</v>
      </c>
      <c r="R272" t="s">
        <v>743</v>
      </c>
      <c r="S272" t="s">
        <v>744</v>
      </c>
    </row>
    <row r="273" spans="17:19" x14ac:dyDescent="0.25">
      <c r="Q273">
        <v>3646</v>
      </c>
      <c r="R273" t="s">
        <v>745</v>
      </c>
      <c r="S273" t="s">
        <v>746</v>
      </c>
    </row>
    <row r="274" spans="17:19" x14ac:dyDescent="0.25">
      <c r="Q274">
        <v>3648</v>
      </c>
      <c r="R274" t="s">
        <v>974</v>
      </c>
      <c r="S274" t="s">
        <v>975</v>
      </c>
    </row>
    <row r="275" spans="17:19" x14ac:dyDescent="0.25">
      <c r="Q275">
        <v>3650</v>
      </c>
      <c r="R275" t="s">
        <v>747</v>
      </c>
      <c r="S275" t="s">
        <v>748</v>
      </c>
    </row>
    <row r="276" spans="17:19" x14ac:dyDescent="0.25">
      <c r="Q276">
        <v>3654</v>
      </c>
      <c r="R276" t="s">
        <v>749</v>
      </c>
      <c r="S276" t="s">
        <v>750</v>
      </c>
    </row>
    <row r="277" spans="17:19" x14ac:dyDescent="0.25">
      <c r="Q277">
        <v>3655</v>
      </c>
      <c r="R277" t="s">
        <v>751</v>
      </c>
      <c r="S277" t="s">
        <v>752</v>
      </c>
    </row>
    <row r="278" spans="17:19" x14ac:dyDescent="0.25">
      <c r="Q278">
        <v>3656</v>
      </c>
      <c r="R278" t="s">
        <v>753</v>
      </c>
      <c r="S278" t="s">
        <v>754</v>
      </c>
    </row>
    <row r="279" spans="17:19" x14ac:dyDescent="0.25">
      <c r="Q279">
        <v>3657</v>
      </c>
      <c r="R279" t="s">
        <v>755</v>
      </c>
      <c r="S279" t="s">
        <v>756</v>
      </c>
    </row>
    <row r="280" spans="17:19" x14ac:dyDescent="0.25">
      <c r="Q280">
        <v>3658</v>
      </c>
      <c r="R280" t="s">
        <v>757</v>
      </c>
      <c r="S280" t="s">
        <v>758</v>
      </c>
    </row>
    <row r="281" spans="17:19" x14ac:dyDescent="0.25">
      <c r="Q281">
        <v>3659</v>
      </c>
      <c r="R281" t="s">
        <v>759</v>
      </c>
      <c r="S281" t="s">
        <v>760</v>
      </c>
    </row>
    <row r="282" spans="17:19" x14ac:dyDescent="0.25">
      <c r="Q282">
        <v>3660</v>
      </c>
      <c r="R282" t="s">
        <v>761</v>
      </c>
      <c r="S282" t="s">
        <v>762</v>
      </c>
    </row>
    <row r="283" spans="17:19" x14ac:dyDescent="0.25">
      <c r="Q283">
        <v>3661</v>
      </c>
      <c r="R283" t="s">
        <v>763</v>
      </c>
      <c r="S283" t="s">
        <v>764</v>
      </c>
    </row>
    <row r="284" spans="17:19" x14ac:dyDescent="0.25">
      <c r="Q284">
        <v>3662</v>
      </c>
      <c r="R284" t="s">
        <v>765</v>
      </c>
      <c r="S284" t="s">
        <v>766</v>
      </c>
    </row>
    <row r="285" spans="17:19" x14ac:dyDescent="0.25">
      <c r="Q285">
        <v>3663</v>
      </c>
      <c r="R285" t="s">
        <v>767</v>
      </c>
      <c r="S285" t="s">
        <v>768</v>
      </c>
    </row>
    <row r="286" spans="17:19" x14ac:dyDescent="0.25">
      <c r="Q286">
        <v>3664</v>
      </c>
      <c r="R286" t="s">
        <v>769</v>
      </c>
      <c r="S286" t="s">
        <v>770</v>
      </c>
    </row>
    <row r="287" spans="17:19" x14ac:dyDescent="0.25">
      <c r="Q287">
        <v>3665</v>
      </c>
      <c r="R287" t="s">
        <v>771</v>
      </c>
      <c r="S287" t="s">
        <v>772</v>
      </c>
    </row>
    <row r="288" spans="17:19" x14ac:dyDescent="0.25">
      <c r="Q288">
        <v>3815</v>
      </c>
      <c r="R288" t="s">
        <v>451</v>
      </c>
      <c r="S288" t="s">
        <v>452</v>
      </c>
    </row>
    <row r="289" spans="17:19" x14ac:dyDescent="0.25">
      <c r="Q289">
        <v>3923</v>
      </c>
      <c r="R289" t="s">
        <v>1015</v>
      </c>
      <c r="S289" t="s">
        <v>1016</v>
      </c>
    </row>
    <row r="290" spans="17:19" x14ac:dyDescent="0.25">
      <c r="Q290">
        <v>3940</v>
      </c>
      <c r="R290" t="s">
        <v>373</v>
      </c>
      <c r="S290" t="s">
        <v>374</v>
      </c>
    </row>
    <row r="291" spans="17:19" x14ac:dyDescent="0.25">
      <c r="Q291">
        <v>4120</v>
      </c>
      <c r="R291" t="s">
        <v>1029</v>
      </c>
      <c r="S291" t="s">
        <v>1043</v>
      </c>
    </row>
    <row r="292" spans="17:19" x14ac:dyDescent="0.25">
      <c r="Q292">
        <v>4150</v>
      </c>
      <c r="R292" t="s">
        <v>773</v>
      </c>
      <c r="S292" t="s">
        <v>774</v>
      </c>
    </row>
    <row r="293" spans="17:19" x14ac:dyDescent="0.25">
      <c r="Q293">
        <v>4162</v>
      </c>
      <c r="R293" t="s">
        <v>403</v>
      </c>
      <c r="S293" t="s">
        <v>404</v>
      </c>
    </row>
    <row r="294" spans="17:19" x14ac:dyDescent="0.25">
      <c r="Q294">
        <v>4206</v>
      </c>
      <c r="R294" t="s">
        <v>775</v>
      </c>
      <c r="S294" t="s">
        <v>776</v>
      </c>
    </row>
    <row r="295" spans="17:19" x14ac:dyDescent="0.25">
      <c r="Q295">
        <v>4225</v>
      </c>
      <c r="R295" t="s">
        <v>777</v>
      </c>
      <c r="S295" t="s">
        <v>778</v>
      </c>
    </row>
    <row r="296" spans="17:19" x14ac:dyDescent="0.25">
      <c r="Q296">
        <v>4238</v>
      </c>
      <c r="R296" t="s">
        <v>779</v>
      </c>
      <c r="S296" t="s">
        <v>780</v>
      </c>
    </row>
    <row r="297" spans="17:19" x14ac:dyDescent="0.25">
      <c r="Q297">
        <v>4241</v>
      </c>
      <c r="R297" t="s">
        <v>345</v>
      </c>
      <c r="S297" t="s">
        <v>346</v>
      </c>
    </row>
    <row r="298" spans="17:19" x14ac:dyDescent="0.25">
      <c r="Q298">
        <v>4268</v>
      </c>
      <c r="R298" t="s">
        <v>781</v>
      </c>
      <c r="S298" t="s">
        <v>782</v>
      </c>
    </row>
    <row r="299" spans="17:19" x14ac:dyDescent="0.25">
      <c r="Q299">
        <v>4273</v>
      </c>
      <c r="R299" t="s">
        <v>1044</v>
      </c>
      <c r="S299" t="s">
        <v>1045</v>
      </c>
    </row>
    <row r="300" spans="17:19" x14ac:dyDescent="0.25">
      <c r="Q300">
        <v>4294</v>
      </c>
      <c r="R300" t="s">
        <v>783</v>
      </c>
      <c r="S300" t="s">
        <v>784</v>
      </c>
    </row>
    <row r="301" spans="17:19" x14ac:dyDescent="0.25">
      <c r="Q301">
        <v>4316</v>
      </c>
      <c r="R301" t="s">
        <v>785</v>
      </c>
      <c r="S301" t="s">
        <v>786</v>
      </c>
    </row>
    <row r="302" spans="17:19" x14ac:dyDescent="0.25">
      <c r="Q302">
        <v>4355</v>
      </c>
      <c r="R302" t="s">
        <v>787</v>
      </c>
      <c r="S302" t="s">
        <v>788</v>
      </c>
    </row>
    <row r="303" spans="17:19" x14ac:dyDescent="0.25">
      <c r="Q303">
        <v>4378</v>
      </c>
      <c r="R303" t="s">
        <v>281</v>
      </c>
      <c r="S303" t="s">
        <v>282</v>
      </c>
    </row>
    <row r="304" spans="17:19" x14ac:dyDescent="0.25">
      <c r="Q304">
        <v>4391</v>
      </c>
      <c r="R304" t="s">
        <v>789</v>
      </c>
      <c r="S304" t="s">
        <v>790</v>
      </c>
    </row>
    <row r="305" spans="17:19" x14ac:dyDescent="0.25">
      <c r="Q305">
        <v>4430</v>
      </c>
      <c r="R305" t="s">
        <v>791</v>
      </c>
      <c r="S305" t="s">
        <v>792</v>
      </c>
    </row>
    <row r="306" spans="17:19" x14ac:dyDescent="0.25">
      <c r="Q306">
        <v>4533</v>
      </c>
      <c r="R306" t="s">
        <v>793</v>
      </c>
      <c r="S306" t="s">
        <v>794</v>
      </c>
    </row>
    <row r="307" spans="17:19" x14ac:dyDescent="0.25">
      <c r="Q307">
        <v>4534</v>
      </c>
      <c r="R307" t="s">
        <v>795</v>
      </c>
      <c r="S307" t="s">
        <v>796</v>
      </c>
    </row>
    <row r="308" spans="17:19" x14ac:dyDescent="0.25">
      <c r="Q308">
        <v>4536</v>
      </c>
      <c r="R308" t="s">
        <v>797</v>
      </c>
      <c r="S308" t="s">
        <v>798</v>
      </c>
    </row>
    <row r="309" spans="17:19" x14ac:dyDescent="0.25">
      <c r="Q309">
        <v>4543</v>
      </c>
      <c r="R309" t="s">
        <v>799</v>
      </c>
      <c r="S309" t="s">
        <v>800</v>
      </c>
    </row>
    <row r="310" spans="17:19" x14ac:dyDescent="0.25">
      <c r="Q310">
        <v>4562</v>
      </c>
      <c r="R310" t="s">
        <v>801</v>
      </c>
      <c r="S310" t="s">
        <v>802</v>
      </c>
    </row>
    <row r="311" spans="17:19" x14ac:dyDescent="0.25">
      <c r="Q311">
        <v>4566</v>
      </c>
      <c r="R311" t="s">
        <v>803</v>
      </c>
      <c r="S311" t="s">
        <v>804</v>
      </c>
    </row>
    <row r="312" spans="17:19" x14ac:dyDescent="0.25">
      <c r="Q312">
        <v>4725</v>
      </c>
      <c r="R312" t="s">
        <v>805</v>
      </c>
      <c r="S312" t="s">
        <v>806</v>
      </c>
    </row>
    <row r="313" spans="17:19" x14ac:dyDescent="0.25">
      <c r="Q313">
        <v>4726</v>
      </c>
      <c r="R313" t="s">
        <v>807</v>
      </c>
      <c r="S313" t="s">
        <v>808</v>
      </c>
    </row>
    <row r="314" spans="17:19" x14ac:dyDescent="0.25">
      <c r="Q314">
        <v>4771</v>
      </c>
      <c r="R314" t="s">
        <v>809</v>
      </c>
      <c r="S314" t="s">
        <v>810</v>
      </c>
    </row>
    <row r="315" spans="17:19" x14ac:dyDescent="0.25">
      <c r="Q315">
        <v>4773</v>
      </c>
      <c r="R315" t="s">
        <v>811</v>
      </c>
      <c r="S315" t="s">
        <v>812</v>
      </c>
    </row>
    <row r="316" spans="17:19" x14ac:dyDescent="0.25">
      <c r="Q316">
        <v>4779</v>
      </c>
      <c r="R316" t="s">
        <v>271</v>
      </c>
      <c r="S316" t="s">
        <v>272</v>
      </c>
    </row>
    <row r="317" spans="17:19" x14ac:dyDescent="0.25">
      <c r="Q317">
        <v>4952</v>
      </c>
      <c r="R317" t="s">
        <v>813</v>
      </c>
      <c r="S317" t="s">
        <v>814</v>
      </c>
    </row>
    <row r="318" spans="17:19" x14ac:dyDescent="0.25">
      <c r="Q318">
        <v>4953</v>
      </c>
      <c r="R318" t="s">
        <v>815</v>
      </c>
      <c r="S318" t="s">
        <v>816</v>
      </c>
    </row>
    <row r="319" spans="17:19" x14ac:dyDescent="0.25">
      <c r="Q319">
        <v>4956</v>
      </c>
      <c r="R319" t="s">
        <v>817</v>
      </c>
      <c r="S319" t="s">
        <v>818</v>
      </c>
    </row>
    <row r="320" spans="17:19" x14ac:dyDescent="0.25">
      <c r="Q320">
        <v>4957</v>
      </c>
      <c r="R320" t="s">
        <v>819</v>
      </c>
      <c r="S320" t="s">
        <v>820</v>
      </c>
    </row>
    <row r="321" spans="17:19" x14ac:dyDescent="0.25">
      <c r="Q321">
        <v>4959</v>
      </c>
      <c r="R321" t="s">
        <v>821</v>
      </c>
      <c r="S321" t="s">
        <v>822</v>
      </c>
    </row>
    <row r="322" spans="17:19" x14ac:dyDescent="0.25">
      <c r="Q322">
        <v>4960</v>
      </c>
      <c r="R322" t="s">
        <v>823</v>
      </c>
      <c r="S322" t="s">
        <v>824</v>
      </c>
    </row>
    <row r="323" spans="17:19" x14ac:dyDescent="0.25">
      <c r="Q323">
        <v>4962</v>
      </c>
      <c r="R323" t="s">
        <v>825</v>
      </c>
      <c r="S323" t="s">
        <v>826</v>
      </c>
    </row>
    <row r="324" spans="17:19" x14ac:dyDescent="0.25">
      <c r="Q324">
        <v>4963</v>
      </c>
      <c r="R324" t="s">
        <v>827</v>
      </c>
      <c r="S324" t="s">
        <v>828</v>
      </c>
    </row>
    <row r="325" spans="17:19" x14ac:dyDescent="0.25">
      <c r="Q325">
        <v>4964</v>
      </c>
      <c r="R325" t="s">
        <v>829</v>
      </c>
      <c r="S325" t="s">
        <v>830</v>
      </c>
    </row>
    <row r="326" spans="17:19" x14ac:dyDescent="0.25">
      <c r="Q326">
        <v>4967</v>
      </c>
      <c r="R326" t="s">
        <v>831</v>
      </c>
      <c r="S326" t="s">
        <v>832</v>
      </c>
    </row>
    <row r="327" spans="17:19" x14ac:dyDescent="0.25">
      <c r="Q327">
        <v>4968</v>
      </c>
      <c r="R327" t="s">
        <v>833</v>
      </c>
      <c r="S327" t="s">
        <v>834</v>
      </c>
    </row>
    <row r="328" spans="17:19" x14ac:dyDescent="0.25">
      <c r="Q328">
        <v>4970</v>
      </c>
      <c r="R328" t="s">
        <v>835</v>
      </c>
      <c r="S328" t="s">
        <v>836</v>
      </c>
    </row>
    <row r="329" spans="17:19" x14ac:dyDescent="0.25">
      <c r="Q329">
        <v>4972</v>
      </c>
      <c r="R329" t="s">
        <v>837</v>
      </c>
      <c r="S329" t="s">
        <v>838</v>
      </c>
    </row>
    <row r="330" spans="17:19" x14ac:dyDescent="0.25">
      <c r="Q330">
        <v>5032</v>
      </c>
      <c r="R330" t="s">
        <v>839</v>
      </c>
      <c r="S330" t="s">
        <v>840</v>
      </c>
    </row>
    <row r="331" spans="17:19" x14ac:dyDescent="0.25">
      <c r="Q331">
        <v>5145</v>
      </c>
      <c r="R331" t="s">
        <v>841</v>
      </c>
      <c r="S331" t="s">
        <v>842</v>
      </c>
    </row>
    <row r="332" spans="17:19" x14ac:dyDescent="0.25">
      <c r="Q332">
        <v>5168</v>
      </c>
      <c r="R332" t="s">
        <v>381</v>
      </c>
      <c r="S332" t="s">
        <v>382</v>
      </c>
    </row>
    <row r="333" spans="17:19" x14ac:dyDescent="0.25">
      <c r="Q333">
        <v>5197</v>
      </c>
      <c r="R333" t="s">
        <v>843</v>
      </c>
      <c r="S333" t="s">
        <v>844</v>
      </c>
    </row>
    <row r="334" spans="17:19" x14ac:dyDescent="0.25">
      <c r="Q334">
        <v>5577</v>
      </c>
      <c r="R334" t="s">
        <v>845</v>
      </c>
      <c r="S334" t="s">
        <v>846</v>
      </c>
    </row>
    <row r="335" spans="17:19" x14ac:dyDescent="0.25">
      <c r="Q335">
        <v>5578</v>
      </c>
      <c r="R335" t="s">
        <v>847</v>
      </c>
      <c r="S335" t="s">
        <v>848</v>
      </c>
    </row>
    <row r="336" spans="17:19" x14ac:dyDescent="0.25">
      <c r="Q336">
        <v>5629</v>
      </c>
      <c r="R336" t="s">
        <v>849</v>
      </c>
      <c r="S336" t="s">
        <v>850</v>
      </c>
    </row>
    <row r="337" spans="17:19" x14ac:dyDescent="0.25">
      <c r="Q337">
        <v>5630</v>
      </c>
      <c r="R337" t="s">
        <v>851</v>
      </c>
      <c r="S337" t="s">
        <v>852</v>
      </c>
    </row>
    <row r="338" spans="17:19" x14ac:dyDescent="0.25">
      <c r="Q338">
        <v>5633</v>
      </c>
      <c r="R338" t="s">
        <v>853</v>
      </c>
      <c r="S338" t="s">
        <v>854</v>
      </c>
    </row>
    <row r="339" spans="17:19" x14ac:dyDescent="0.25">
      <c r="Q339">
        <v>5635</v>
      </c>
      <c r="R339" t="s">
        <v>855</v>
      </c>
      <c r="S339" t="s">
        <v>856</v>
      </c>
    </row>
    <row r="340" spans="17:19" x14ac:dyDescent="0.25">
      <c r="Q340">
        <v>5662</v>
      </c>
      <c r="R340" t="s">
        <v>857</v>
      </c>
      <c r="S340" t="s">
        <v>858</v>
      </c>
    </row>
    <row r="341" spans="17:19" x14ac:dyDescent="0.25">
      <c r="Q341">
        <v>6172</v>
      </c>
      <c r="R341" t="s">
        <v>859</v>
      </c>
      <c r="S341" t="s">
        <v>860</v>
      </c>
    </row>
    <row r="342" spans="17:19" x14ac:dyDescent="0.25">
      <c r="Q342">
        <v>6173</v>
      </c>
      <c r="R342" t="s">
        <v>861</v>
      </c>
      <c r="S342" t="s">
        <v>862</v>
      </c>
    </row>
    <row r="343" spans="17:19" x14ac:dyDescent="0.25">
      <c r="Q343">
        <v>6174</v>
      </c>
      <c r="R343" t="s">
        <v>863</v>
      </c>
      <c r="S343" t="s">
        <v>864</v>
      </c>
    </row>
    <row r="344" spans="17:19" x14ac:dyDescent="0.25">
      <c r="Q344">
        <v>6447</v>
      </c>
      <c r="R344" t="s">
        <v>865</v>
      </c>
      <c r="S344" t="s">
        <v>866</v>
      </c>
    </row>
    <row r="345" spans="17:19" x14ac:dyDescent="0.25">
      <c r="Q345">
        <v>6520</v>
      </c>
      <c r="R345" t="s">
        <v>405</v>
      </c>
      <c r="S345" t="s">
        <v>406</v>
      </c>
    </row>
    <row r="346" spans="17:19" x14ac:dyDescent="0.25">
      <c r="Q346">
        <v>6521</v>
      </c>
      <c r="R346" t="s">
        <v>407</v>
      </c>
      <c r="S346" t="s">
        <v>408</v>
      </c>
    </row>
    <row r="347" spans="17:19" x14ac:dyDescent="0.25">
      <c r="Q347">
        <v>6522</v>
      </c>
      <c r="R347" t="s">
        <v>409</v>
      </c>
      <c r="S347" t="s">
        <v>410</v>
      </c>
    </row>
    <row r="348" spans="17:19" x14ac:dyDescent="0.25">
      <c r="Q348">
        <v>6590</v>
      </c>
      <c r="R348" t="s">
        <v>492</v>
      </c>
      <c r="S348" t="s">
        <v>493</v>
      </c>
    </row>
    <row r="349" spans="17:19" x14ac:dyDescent="0.25">
      <c r="Q349">
        <v>6861</v>
      </c>
      <c r="R349" t="s">
        <v>867</v>
      </c>
      <c r="S349" t="s">
        <v>868</v>
      </c>
    </row>
    <row r="350" spans="17:19" x14ac:dyDescent="0.25">
      <c r="Q350">
        <v>6863</v>
      </c>
      <c r="R350" t="s">
        <v>869</v>
      </c>
      <c r="S350" t="s">
        <v>870</v>
      </c>
    </row>
    <row r="351" spans="17:19" x14ac:dyDescent="0.25">
      <c r="Q351">
        <v>7263</v>
      </c>
      <c r="R351" t="s">
        <v>773</v>
      </c>
      <c r="S351" t="s">
        <v>871</v>
      </c>
    </row>
    <row r="352" spans="17:19" x14ac:dyDescent="0.25">
      <c r="Q352">
        <v>7461</v>
      </c>
      <c r="R352" t="s">
        <v>1017</v>
      </c>
      <c r="S352" t="s">
        <v>1018</v>
      </c>
    </row>
    <row r="353" spans="17:19" x14ac:dyDescent="0.25">
      <c r="Q353">
        <v>7599</v>
      </c>
      <c r="R353" t="s">
        <v>872</v>
      </c>
      <c r="S353" t="s">
        <v>873</v>
      </c>
    </row>
    <row r="354" spans="17:19" x14ac:dyDescent="0.25">
      <c r="Q354">
        <v>7600</v>
      </c>
      <c r="R354" t="s">
        <v>874</v>
      </c>
      <c r="S354" t="s">
        <v>875</v>
      </c>
    </row>
    <row r="355" spans="17:19" x14ac:dyDescent="0.25">
      <c r="Q355">
        <v>7601</v>
      </c>
      <c r="R355" t="s">
        <v>876</v>
      </c>
      <c r="S355" t="s">
        <v>877</v>
      </c>
    </row>
    <row r="356" spans="17:19" x14ac:dyDescent="0.25">
      <c r="Q356">
        <v>7602</v>
      </c>
      <c r="R356" t="s">
        <v>878</v>
      </c>
      <c r="S356" t="s">
        <v>879</v>
      </c>
    </row>
    <row r="357" spans="17:19" x14ac:dyDescent="0.25">
      <c r="Q357">
        <v>7603</v>
      </c>
      <c r="R357" t="s">
        <v>880</v>
      </c>
      <c r="S357" t="s">
        <v>881</v>
      </c>
    </row>
    <row r="358" spans="17:19" x14ac:dyDescent="0.25">
      <c r="Q358">
        <v>7604</v>
      </c>
      <c r="R358" t="s">
        <v>882</v>
      </c>
      <c r="S358" t="s">
        <v>883</v>
      </c>
    </row>
    <row r="359" spans="17:19" x14ac:dyDescent="0.25">
      <c r="Q359">
        <v>7606</v>
      </c>
      <c r="R359" t="s">
        <v>1046</v>
      </c>
      <c r="S359" t="s">
        <v>1047</v>
      </c>
    </row>
    <row r="360" spans="17:19" x14ac:dyDescent="0.25">
      <c r="Q360">
        <v>7607</v>
      </c>
      <c r="R360" t="s">
        <v>1029</v>
      </c>
      <c r="S360" t="s">
        <v>1030</v>
      </c>
    </row>
    <row r="361" spans="17:19" x14ac:dyDescent="0.25">
      <c r="Q361">
        <v>7618</v>
      </c>
      <c r="R361" t="s">
        <v>453</v>
      </c>
      <c r="S361" t="s">
        <v>454</v>
      </c>
    </row>
    <row r="362" spans="17:19" x14ac:dyDescent="0.25">
      <c r="Q362">
        <v>7641</v>
      </c>
      <c r="R362" t="s">
        <v>884</v>
      </c>
      <c r="S362" t="s">
        <v>885</v>
      </c>
    </row>
    <row r="363" spans="17:19" x14ac:dyDescent="0.25">
      <c r="Q363">
        <v>7762</v>
      </c>
      <c r="R363" t="s">
        <v>886</v>
      </c>
      <c r="S363" t="s">
        <v>887</v>
      </c>
    </row>
    <row r="364" spans="17:19" x14ac:dyDescent="0.25">
      <c r="Q364">
        <v>7763</v>
      </c>
      <c r="R364" t="s">
        <v>888</v>
      </c>
      <c r="S364" t="s">
        <v>889</v>
      </c>
    </row>
    <row r="365" spans="17:19" x14ac:dyDescent="0.25">
      <c r="Q365">
        <v>7770</v>
      </c>
      <c r="R365" t="s">
        <v>1002</v>
      </c>
      <c r="S365" t="s">
        <v>1003</v>
      </c>
    </row>
    <row r="366" spans="17:19" x14ac:dyDescent="0.25">
      <c r="Q366">
        <v>7771</v>
      </c>
      <c r="R366" t="s">
        <v>1004</v>
      </c>
      <c r="S366" t="s">
        <v>1005</v>
      </c>
    </row>
    <row r="367" spans="17:19" x14ac:dyDescent="0.25">
      <c r="Q367">
        <v>8218</v>
      </c>
      <c r="R367" t="s">
        <v>890</v>
      </c>
      <c r="S367" t="s">
        <v>891</v>
      </c>
    </row>
    <row r="368" spans="17:19" x14ac:dyDescent="0.25">
      <c r="Q368">
        <v>8221</v>
      </c>
      <c r="R368" t="s">
        <v>892</v>
      </c>
      <c r="S368" t="s">
        <v>893</v>
      </c>
    </row>
    <row r="369" spans="17:19" x14ac:dyDescent="0.25">
      <c r="Q369">
        <v>8231</v>
      </c>
      <c r="R369" t="s">
        <v>894</v>
      </c>
      <c r="S369" t="s">
        <v>895</v>
      </c>
    </row>
    <row r="370" spans="17:19" x14ac:dyDescent="0.25">
      <c r="Q370">
        <v>8232</v>
      </c>
      <c r="R370" t="s">
        <v>1027</v>
      </c>
      <c r="S370" t="s">
        <v>1028</v>
      </c>
    </row>
    <row r="371" spans="17:19" x14ac:dyDescent="0.25">
      <c r="Q371">
        <v>8233</v>
      </c>
      <c r="R371" t="s">
        <v>516</v>
      </c>
      <c r="S371" t="s">
        <v>517</v>
      </c>
    </row>
    <row r="372" spans="17:19" x14ac:dyDescent="0.25">
      <c r="Q372">
        <v>8237</v>
      </c>
      <c r="R372" t="s">
        <v>289</v>
      </c>
      <c r="S372" t="s">
        <v>290</v>
      </c>
    </row>
    <row r="373" spans="17:19" x14ac:dyDescent="0.25">
      <c r="Q373">
        <v>8238</v>
      </c>
      <c r="R373" t="s">
        <v>291</v>
      </c>
      <c r="S373" t="s">
        <v>292</v>
      </c>
    </row>
    <row r="374" spans="17:19" x14ac:dyDescent="0.25">
      <c r="Q374">
        <v>8240</v>
      </c>
      <c r="R374" t="s">
        <v>896</v>
      </c>
      <c r="S374" t="s">
        <v>897</v>
      </c>
    </row>
    <row r="375" spans="17:19" x14ac:dyDescent="0.25">
      <c r="Q375">
        <v>8244</v>
      </c>
      <c r="R375" t="s">
        <v>898</v>
      </c>
      <c r="S375" t="s">
        <v>899</v>
      </c>
    </row>
    <row r="376" spans="17:19" x14ac:dyDescent="0.25">
      <c r="Q376">
        <v>8245</v>
      </c>
      <c r="R376" t="s">
        <v>293</v>
      </c>
      <c r="S376" t="s">
        <v>294</v>
      </c>
    </row>
    <row r="377" spans="17:19" x14ac:dyDescent="0.25">
      <c r="Q377">
        <v>8363</v>
      </c>
      <c r="R377" t="s">
        <v>443</v>
      </c>
      <c r="S377" t="s">
        <v>444</v>
      </c>
    </row>
    <row r="378" spans="17:19" x14ac:dyDescent="0.25">
      <c r="Q378">
        <v>8364</v>
      </c>
      <c r="R378" t="s">
        <v>445</v>
      </c>
      <c r="S378" t="s">
        <v>446</v>
      </c>
    </row>
    <row r="379" spans="17:19" x14ac:dyDescent="0.25">
      <c r="Q379">
        <v>8368</v>
      </c>
      <c r="R379" t="s">
        <v>976</v>
      </c>
      <c r="S379" t="s">
        <v>977</v>
      </c>
    </row>
    <row r="380" spans="17:19" x14ac:dyDescent="0.25">
      <c r="Q380">
        <v>8550</v>
      </c>
      <c r="R380" t="s">
        <v>900</v>
      </c>
      <c r="S380" t="s">
        <v>901</v>
      </c>
    </row>
    <row r="381" spans="17:19" x14ac:dyDescent="0.25">
      <c r="Q381">
        <v>8639</v>
      </c>
      <c r="R381" t="s">
        <v>475</v>
      </c>
      <c r="S381" t="s">
        <v>470</v>
      </c>
    </row>
    <row r="382" spans="17:19" x14ac:dyDescent="0.25">
      <c r="Q382">
        <v>8700</v>
      </c>
      <c r="R382" t="s">
        <v>978</v>
      </c>
      <c r="S382" t="s">
        <v>979</v>
      </c>
    </row>
    <row r="383" spans="17:19" x14ac:dyDescent="0.25">
      <c r="Q383">
        <v>9009</v>
      </c>
      <c r="R383" t="s">
        <v>994</v>
      </c>
      <c r="S383" t="s">
        <v>995</v>
      </c>
    </row>
    <row r="384" spans="17:19" x14ac:dyDescent="0.25">
      <c r="Q384">
        <v>9030</v>
      </c>
      <c r="R384" t="s">
        <v>494</v>
      </c>
      <c r="S384" t="s">
        <v>495</v>
      </c>
    </row>
    <row r="385" spans="17:19" x14ac:dyDescent="0.25">
      <c r="Q385">
        <v>9099</v>
      </c>
      <c r="R385" t="s">
        <v>363</v>
      </c>
      <c r="S385" t="s">
        <v>364</v>
      </c>
    </row>
    <row r="386" spans="17:19" x14ac:dyDescent="0.25">
      <c r="Q386">
        <v>9372</v>
      </c>
      <c r="R386" t="s">
        <v>510</v>
      </c>
      <c r="S386" t="s">
        <v>511</v>
      </c>
    </row>
    <row r="387" spans="17:19" x14ac:dyDescent="0.25">
      <c r="Q387">
        <v>9380</v>
      </c>
      <c r="R387" t="s">
        <v>980</v>
      </c>
      <c r="S387" t="s">
        <v>981</v>
      </c>
    </row>
    <row r="388" spans="17:19" x14ac:dyDescent="0.25">
      <c r="Q388">
        <v>9381</v>
      </c>
      <c r="R388" t="s">
        <v>902</v>
      </c>
      <c r="S388" t="s">
        <v>903</v>
      </c>
    </row>
    <row r="389" spans="17:19" x14ac:dyDescent="0.25">
      <c r="Q389">
        <v>9597</v>
      </c>
      <c r="R389" t="s">
        <v>982</v>
      </c>
      <c r="S389" t="s">
        <v>983</v>
      </c>
    </row>
    <row r="390" spans="17:19" x14ac:dyDescent="0.25">
      <c r="Q390">
        <v>10115</v>
      </c>
      <c r="R390" t="s">
        <v>904</v>
      </c>
      <c r="S390" t="s">
        <v>905</v>
      </c>
    </row>
    <row r="391" spans="17:19" x14ac:dyDescent="0.25">
      <c r="Q391">
        <v>10116</v>
      </c>
      <c r="R391" t="s">
        <v>906</v>
      </c>
      <c r="S391" t="s">
        <v>907</v>
      </c>
    </row>
    <row r="392" spans="17:19" x14ac:dyDescent="0.25">
      <c r="Q392">
        <v>10118</v>
      </c>
      <c r="R392" t="s">
        <v>908</v>
      </c>
      <c r="S392" t="s">
        <v>909</v>
      </c>
    </row>
    <row r="393" spans="17:19" x14ac:dyDescent="0.25">
      <c r="Q393">
        <v>10119</v>
      </c>
      <c r="R393" t="s">
        <v>910</v>
      </c>
      <c r="S393" t="s">
        <v>911</v>
      </c>
    </row>
    <row r="394" spans="17:19" x14ac:dyDescent="0.25">
      <c r="Q394">
        <v>10120</v>
      </c>
      <c r="R394" t="s">
        <v>912</v>
      </c>
      <c r="S394" t="s">
        <v>913</v>
      </c>
    </row>
    <row r="395" spans="17:19" x14ac:dyDescent="0.25">
      <c r="Q395">
        <v>10122</v>
      </c>
      <c r="R395" t="s">
        <v>914</v>
      </c>
      <c r="S395" t="s">
        <v>915</v>
      </c>
    </row>
    <row r="396" spans="17:19" x14ac:dyDescent="0.25">
      <c r="Q396">
        <v>10244</v>
      </c>
      <c r="R396" t="s">
        <v>984</v>
      </c>
      <c r="S396" t="s">
        <v>985</v>
      </c>
    </row>
    <row r="397" spans="17:19" x14ac:dyDescent="0.25">
      <c r="Q397">
        <v>10517</v>
      </c>
      <c r="R397" t="s">
        <v>1008</v>
      </c>
      <c r="S397" t="s">
        <v>1009</v>
      </c>
    </row>
    <row r="398" spans="17:19" x14ac:dyDescent="0.25">
      <c r="Q398">
        <v>10648</v>
      </c>
      <c r="R398" t="s">
        <v>986</v>
      </c>
      <c r="S398" t="s">
        <v>987</v>
      </c>
    </row>
    <row r="399" spans="17:19" x14ac:dyDescent="0.25">
      <c r="Q399">
        <v>10716</v>
      </c>
      <c r="R399" t="s">
        <v>988</v>
      </c>
      <c r="S399" t="s">
        <v>989</v>
      </c>
    </row>
    <row r="400" spans="17:19" x14ac:dyDescent="0.25">
      <c r="Q400">
        <v>10813</v>
      </c>
      <c r="R400" t="s">
        <v>916</v>
      </c>
      <c r="S400" t="s">
        <v>917</v>
      </c>
    </row>
    <row r="401" spans="17:19" x14ac:dyDescent="0.25">
      <c r="Q401">
        <v>10948</v>
      </c>
      <c r="R401" t="s">
        <v>918</v>
      </c>
      <c r="S401" t="s">
        <v>919</v>
      </c>
    </row>
    <row r="402" spans="17:19" x14ac:dyDescent="0.25">
      <c r="Q402">
        <v>10949</v>
      </c>
      <c r="R402" t="s">
        <v>920</v>
      </c>
      <c r="S402" t="s">
        <v>921</v>
      </c>
    </row>
    <row r="403" spans="17:19" x14ac:dyDescent="0.25">
      <c r="Q403">
        <v>10996</v>
      </c>
      <c r="R403" t="s">
        <v>922</v>
      </c>
      <c r="S403" t="s">
        <v>923</v>
      </c>
    </row>
    <row r="404" spans="17:19" x14ac:dyDescent="0.25">
      <c r="Q404">
        <v>10997</v>
      </c>
      <c r="R404" t="s">
        <v>924</v>
      </c>
      <c r="S404" t="s">
        <v>925</v>
      </c>
    </row>
    <row r="405" spans="17:19" x14ac:dyDescent="0.25">
      <c r="Q405">
        <v>11029</v>
      </c>
      <c r="R405" t="s">
        <v>926</v>
      </c>
      <c r="S405" t="s">
        <v>927</v>
      </c>
    </row>
    <row r="406" spans="17:19" x14ac:dyDescent="0.25">
      <c r="Q406">
        <v>11143</v>
      </c>
      <c r="R406" t="s">
        <v>996</v>
      </c>
      <c r="S406" t="s">
        <v>997</v>
      </c>
    </row>
    <row r="407" spans="17:19" x14ac:dyDescent="0.25">
      <c r="Q407">
        <v>11319</v>
      </c>
      <c r="R407" t="s">
        <v>305</v>
      </c>
      <c r="S407" t="s">
        <v>306</v>
      </c>
    </row>
    <row r="408" spans="17:19" x14ac:dyDescent="0.25">
      <c r="Q408">
        <v>11765</v>
      </c>
      <c r="R408" t="s">
        <v>928</v>
      </c>
      <c r="S408" t="s">
        <v>929</v>
      </c>
    </row>
    <row r="409" spans="17:19" x14ac:dyDescent="0.25">
      <c r="Q409">
        <v>11891</v>
      </c>
      <c r="R409" t="s">
        <v>930</v>
      </c>
      <c r="S409" t="s">
        <v>931</v>
      </c>
    </row>
    <row r="410" spans="17:19" x14ac:dyDescent="0.25">
      <c r="Q410">
        <v>11892</v>
      </c>
      <c r="R410" t="s">
        <v>932</v>
      </c>
      <c r="S410" t="s">
        <v>933</v>
      </c>
    </row>
    <row r="411" spans="17:19" x14ac:dyDescent="0.25">
      <c r="Q411">
        <v>11893</v>
      </c>
      <c r="R411" t="s">
        <v>447</v>
      </c>
      <c r="S411" t="s">
        <v>448</v>
      </c>
    </row>
    <row r="412" spans="17:19" x14ac:dyDescent="0.25">
      <c r="Q412">
        <v>11896</v>
      </c>
      <c r="R412" t="s">
        <v>341</v>
      </c>
      <c r="S412" t="s">
        <v>342</v>
      </c>
    </row>
    <row r="413" spans="17:19" x14ac:dyDescent="0.25">
      <c r="Q413">
        <v>11945</v>
      </c>
      <c r="R413" t="s">
        <v>934</v>
      </c>
      <c r="S413" t="s">
        <v>935</v>
      </c>
    </row>
    <row r="414" spans="17:19" x14ac:dyDescent="0.25">
      <c r="Q414">
        <v>12035</v>
      </c>
      <c r="R414" t="s">
        <v>990</v>
      </c>
      <c r="S414" t="s">
        <v>991</v>
      </c>
    </row>
    <row r="415" spans="17:19" x14ac:dyDescent="0.25">
      <c r="Q415">
        <v>12240</v>
      </c>
      <c r="R415" t="s">
        <v>992</v>
      </c>
      <c r="S415" t="s">
        <v>993</v>
      </c>
    </row>
    <row r="416" spans="17:19" x14ac:dyDescent="0.25">
      <c r="Q416">
        <v>12429</v>
      </c>
      <c r="R416" t="s">
        <v>1006</v>
      </c>
      <c r="S416" t="s">
        <v>1007</v>
      </c>
    </row>
    <row r="417" spans="17:19" x14ac:dyDescent="0.25">
      <c r="Q417">
        <v>12433</v>
      </c>
      <c r="R417" t="s">
        <v>998</v>
      </c>
      <c r="S417" t="s">
        <v>999</v>
      </c>
    </row>
    <row r="418" spans="17:19" x14ac:dyDescent="0.25">
      <c r="Q418">
        <v>12449</v>
      </c>
      <c r="R418" t="s">
        <v>1000</v>
      </c>
      <c r="S418" t="s">
        <v>1001</v>
      </c>
    </row>
    <row r="419" spans="17:19" x14ac:dyDescent="0.25">
      <c r="Q419">
        <v>12812</v>
      </c>
      <c r="R419" t="s">
        <v>936</v>
      </c>
      <c r="S419" t="s">
        <v>937</v>
      </c>
    </row>
    <row r="420" spans="17:19" x14ac:dyDescent="0.25">
      <c r="Q420">
        <v>12852</v>
      </c>
      <c r="R420" t="s">
        <v>938</v>
      </c>
      <c r="S420" t="s">
        <v>939</v>
      </c>
    </row>
    <row r="421" spans="17:19" x14ac:dyDescent="0.25">
      <c r="Q421">
        <v>12863</v>
      </c>
      <c r="R421" t="s">
        <v>940</v>
      </c>
      <c r="S421" t="s">
        <v>941</v>
      </c>
    </row>
    <row r="422" spans="17:19" x14ac:dyDescent="0.25">
      <c r="Q422">
        <v>12867</v>
      </c>
      <c r="R422" t="s">
        <v>942</v>
      </c>
      <c r="S422" t="s">
        <v>943</v>
      </c>
    </row>
    <row r="423" spans="17:19" x14ac:dyDescent="0.25">
      <c r="Q423">
        <v>12871</v>
      </c>
      <c r="R423" t="s">
        <v>944</v>
      </c>
      <c r="S423" t="s">
        <v>945</v>
      </c>
    </row>
    <row r="424" spans="17:19" x14ac:dyDescent="0.25">
      <c r="Q424">
        <v>12873</v>
      </c>
      <c r="R424" t="s">
        <v>946</v>
      </c>
      <c r="S424" t="s">
        <v>947</v>
      </c>
    </row>
    <row r="425" spans="17:19" x14ac:dyDescent="0.25">
      <c r="Q425">
        <v>12875</v>
      </c>
      <c r="R425" t="s">
        <v>948</v>
      </c>
      <c r="S425" t="s">
        <v>949</v>
      </c>
    </row>
    <row r="426" spans="17:19" x14ac:dyDescent="0.25">
      <c r="Q426">
        <v>12885</v>
      </c>
      <c r="R426" t="s">
        <v>950</v>
      </c>
      <c r="S426" t="s">
        <v>951</v>
      </c>
    </row>
    <row r="427" spans="17:19" x14ac:dyDescent="0.25">
      <c r="Q427">
        <v>12904</v>
      </c>
      <c r="R427" t="s">
        <v>952</v>
      </c>
      <c r="S427" t="s">
        <v>953</v>
      </c>
    </row>
  </sheetData>
  <autoFilter ref="K2:M2" xr:uid="{5ABD49F7-67C1-4FC4-A30D-7FD9ADB6378B}"/>
  <sortState xmlns:xlrd2="http://schemas.microsoft.com/office/spreadsheetml/2017/richdata2" ref="K4:M34">
    <sortCondition ref="L4:L34"/>
  </sortState>
  <mergeCells count="1">
    <mergeCell ref="K1:L1"/>
  </mergeCells>
  <dataValidations count="1">
    <dataValidation type="list" allowBlank="1" showInputMessage="1" showErrorMessage="1" promptTitle="Enter a number between 1 and 8" sqref="M1" xr:uid="{0D69086B-EB2C-463E-9E7C-3724A4A04101}">
      <formula1>$A$2:$I2</formula1>
    </dataValidation>
  </dataValidations>
  <pageMargins left="0.7" right="0.7" top="0.75" bottom="0.75" header="0.3" footer="0.3"/>
  <pageSetup orientation="portrait"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1E3E2B7-65A2-4823-BB6A-F4E4CAC15DB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JCVI</vt:lpstr>
      <vt:lpstr>Aureus</vt:lpstr>
      <vt:lpstr>Pneumoniae</vt:lpstr>
      <vt:lpstr>Genitalium</vt:lpstr>
      <vt:lpstr>Minesweeper</vt:lpstr>
      <vt:lpstr>EC Compare</vt:lpstr>
      <vt:lpstr>Module Comparison</vt:lpstr>
      <vt:lpstr>Rxn Comparison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Willem Wannenburg</dc:creator>
  <cp:lastModifiedBy>Willem Wannenburg</cp:lastModifiedBy>
  <dcterms:created xsi:type="dcterms:W3CDTF">2023-09-28T07:39:41Z</dcterms:created>
  <dcterms:modified xsi:type="dcterms:W3CDTF">2023-11-16T07:43:24Z</dcterms:modified>
</cp:coreProperties>
</file>