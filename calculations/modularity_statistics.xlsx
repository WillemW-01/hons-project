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c79fded52d80bc/Documents/Willem/Year IV/Bioinformatics/Project/hons-project/misc/"/>
    </mc:Choice>
  </mc:AlternateContent>
  <xr:revisionPtr revIDLastSave="347" documentId="8_{9070FBFC-748D-4CD1-9513-EBAED4DE6ACF}" xr6:coauthVersionLast="47" xr6:coauthVersionMax="47" xr10:uidLastSave="{6575A288-963A-4E07-BC1A-F0C1ABF1C334}"/>
  <bookViews>
    <workbookView xWindow="-120" yWindow="-120" windowWidth="29040" windowHeight="16440" xr2:uid="{DE2384F0-8EE9-489F-9FC0-8B869867E6D4}"/>
  </bookViews>
  <sheets>
    <sheet name="Comparison" sheetId="6" r:id="rId1"/>
    <sheet name="JCVI" sheetId="1" r:id="rId2"/>
    <sheet name="Pneumoniae" sheetId="2" r:id="rId3"/>
    <sheet name="Genitalium" sheetId="3" r:id="rId4"/>
    <sheet name="Aureus" sheetId="4" r:id="rId5"/>
    <sheet name="Minesweeper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6" l="1"/>
  <c r="C5" i="6"/>
  <c r="C4" i="6"/>
  <c r="C3" i="6"/>
  <c r="C2" i="6"/>
  <c r="B6" i="6"/>
  <c r="B3" i="6"/>
  <c r="B4" i="6"/>
  <c r="B5" i="6"/>
  <c r="B2" i="6"/>
  <c r="F21" i="5" a="1"/>
  <c r="I35" i="5" s="1"/>
  <c r="D18" i="5"/>
  <c r="C18" i="5"/>
  <c r="B18" i="5"/>
  <c r="A18" i="5"/>
  <c r="F21" i="4" a="1"/>
  <c r="F21" i="4" s="1"/>
  <c r="H21" i="4" s="1"/>
  <c r="D18" i="4"/>
  <c r="C18" i="4"/>
  <c r="B18" i="4"/>
  <c r="A18" i="4"/>
  <c r="B18" i="3"/>
  <c r="C18" i="3"/>
  <c r="D18" i="3"/>
  <c r="A18" i="3"/>
  <c r="B16" i="2"/>
  <c r="C16" i="2"/>
  <c r="D16" i="2"/>
  <c r="A16" i="2"/>
  <c r="B23" i="1"/>
  <c r="A23" i="1"/>
  <c r="H32" i="5" l="1"/>
  <c r="I30" i="5"/>
  <c r="I28" i="5"/>
  <c r="I21" i="5"/>
  <c r="H30" i="5"/>
  <c r="I31" i="5"/>
  <c r="H33" i="5"/>
  <c r="I26" i="5"/>
  <c r="I34" i="5"/>
  <c r="F21" i="5"/>
  <c r="H21" i="5" s="1"/>
  <c r="H29" i="5"/>
  <c r="H22" i="5"/>
  <c r="H23" i="5"/>
  <c r="I24" i="5"/>
  <c r="H35" i="5"/>
  <c r="H28" i="5"/>
  <c r="I29" i="5"/>
  <c r="I22" i="5"/>
  <c r="H31" i="5"/>
  <c r="I23" i="5"/>
  <c r="H24" i="5"/>
  <c r="I32" i="5"/>
  <c r="H25" i="5"/>
  <c r="I25" i="5"/>
  <c r="I33" i="5"/>
  <c r="H26" i="5"/>
  <c r="H34" i="5"/>
  <c r="H27" i="5"/>
  <c r="I27" i="5"/>
  <c r="H32" i="4"/>
  <c r="H31" i="4"/>
  <c r="H30" i="4"/>
  <c r="I29" i="4"/>
  <c r="H29" i="4"/>
  <c r="I28" i="4"/>
  <c r="H28" i="4"/>
  <c r="I27" i="4"/>
  <c r="H35" i="4"/>
  <c r="H27" i="4"/>
  <c r="I31" i="4"/>
  <c r="I35" i="4"/>
  <c r="I34" i="4"/>
  <c r="I26" i="4"/>
  <c r="H26" i="4"/>
  <c r="I25" i="4"/>
  <c r="H25" i="4"/>
  <c r="H34" i="4"/>
  <c r="I33" i="4"/>
  <c r="H33" i="4"/>
  <c r="I32" i="4"/>
  <c r="I24" i="4"/>
  <c r="H24" i="4"/>
  <c r="I23" i="4"/>
  <c r="H23" i="4"/>
  <c r="I22" i="4"/>
  <c r="H22" i="4"/>
  <c r="I30" i="4"/>
  <c r="I21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<sst xmlns="http://schemas.openxmlformats.org/spreadsheetml/2006/main" count="141" uniqueCount="38">
  <si>
    <t>before</t>
  </si>
  <si>
    <t>after</t>
  </si>
  <si>
    <t>Modularity</t>
  </si>
  <si>
    <t>Communities</t>
  </si>
  <si>
    <t>Diameter</t>
  </si>
  <si>
    <t>Radius</t>
  </si>
  <si>
    <t>Before</t>
  </si>
  <si>
    <t>After</t>
  </si>
  <si>
    <t>Avg Path</t>
  </si>
  <si>
    <t>Number of Communities: 37</t>
  </si>
  <si>
    <t>Number of Communities: 38</t>
  </si>
  <si>
    <t>Number of Communities: 39</t>
  </si>
  <si>
    <t>Number of Communities: 36</t>
  </si>
  <si>
    <t>Number of Communities: 40</t>
  </si>
  <si>
    <t>Modularity: 0,868</t>
  </si>
  <si>
    <t>Number of Communities: 41</t>
  </si>
  <si>
    <t>Modularity: 0,863</t>
  </si>
  <si>
    <t>Modularity: 0,869</t>
  </si>
  <si>
    <t>Modularity: 0,870</t>
  </si>
  <si>
    <t>Modularity: 0,866</t>
  </si>
  <si>
    <t>Modularity: 0,871</t>
  </si>
  <si>
    <t>Modularity: 0,864</t>
  </si>
  <si>
    <t>Modularity: 0,872</t>
  </si>
  <si>
    <t>Modularity: 0,865</t>
  </si>
  <si>
    <t>Modularity: 0,876</t>
  </si>
  <si>
    <t>Number of Communities: 35</t>
  </si>
  <si>
    <t>Modularity: 0,879</t>
  </si>
  <si>
    <t>Modularity: 0,878</t>
  </si>
  <si>
    <t>Modularity: 0,875</t>
  </si>
  <si>
    <t>Modularity: 0,873</t>
  </si>
  <si>
    <t>Modularity: 0,874</t>
  </si>
  <si>
    <t>Modularity: 0,877</t>
  </si>
  <si>
    <t>Dataset</t>
  </si>
  <si>
    <t>JCVI</t>
  </si>
  <si>
    <t>Pneumoniae</t>
  </si>
  <si>
    <t>Genitalium</t>
  </si>
  <si>
    <t>Aureus</t>
  </si>
  <si>
    <t>Minesweeper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</si>
</sst>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1" xfId="0" applyBorder="1"/>
    <xf numFmtId="0" fontId="0" fillId="0" borderId="0" xfId="0" applyAlignment="1">
      <alignment horizontal="center"/>
    </xf>
    <xf numFmtId="165" fontId="0" fillId="0" borderId="0" xfId="0" applyNumberFormat="1"/>
    <xf numFmtId="16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494A3-1AE0-4BAF-A74C-01280669C018}">
  <dimension ref="A1:C7"/>
  <sheetViews>
    <sheetView tabSelected="1" workbookViewId="0">
      <selection activeCell="F13" sqref="F13"/>
    </sheetView>
  </sheetViews>
  <sheetFormatPr defaultRowHeight="15" x14ac:dyDescent="0.25"/>
  <cols>
    <col min="1" max="1" width="13.28515625" customWidth="1"/>
    <col min="2" max="2" width="10.7109375" bestFit="1" customWidth="1"/>
  </cols>
  <sheetData>
    <row r="1" spans="1:3" x14ac:dyDescent="0.25">
      <c r="A1" s="7" t="s">
        <v>32</v>
      </c>
      <c r="B1" s="7" t="s">
        <v>2</v>
      </c>
      <c r="C1" s="7" t="s">
        <v>8</v>
      </c>
    </row>
    <row r="2" spans="1:3" x14ac:dyDescent="0.25">
      <c r="A2" s="7" t="s">
        <v>33</v>
      </c>
      <c r="B2" s="2">
        <f>JCVI!B23</f>
        <v>0.73604999999999998</v>
      </c>
      <c r="C2" s="5">
        <f>JCVI!I2</f>
        <v>6.9889999999999999</v>
      </c>
    </row>
    <row r="3" spans="1:3" x14ac:dyDescent="0.25">
      <c r="A3" s="7" t="s">
        <v>36</v>
      </c>
      <c r="B3" s="2">
        <f>Aureus!B18</f>
        <v>0.86726666666666652</v>
      </c>
      <c r="C3" s="5">
        <f>Aureus!J3</f>
        <v>9.51</v>
      </c>
    </row>
    <row r="4" spans="1:3" x14ac:dyDescent="0.25">
      <c r="A4" s="7" t="s">
        <v>34</v>
      </c>
      <c r="B4" s="2">
        <f>Pneumoniae!B16</f>
        <v>0.87430769230769223</v>
      </c>
      <c r="C4" s="5">
        <f>Pneumoniae!J3</f>
        <v>7.2649999999999997</v>
      </c>
    </row>
    <row r="5" spans="1:3" x14ac:dyDescent="0.25">
      <c r="A5" s="7" t="s">
        <v>35</v>
      </c>
      <c r="B5" s="2">
        <f>Genitalium!B18</f>
        <v>0.8534666666666666</v>
      </c>
      <c r="C5" s="5">
        <f>Genitalium!J3</f>
        <v>9.5980000000000008</v>
      </c>
    </row>
    <row r="6" spans="1:3" x14ac:dyDescent="0.25">
      <c r="A6" s="7" t="s">
        <v>37</v>
      </c>
      <c r="B6" s="2">
        <f>Minesweeper!B18</f>
        <v>0.87580000000000002</v>
      </c>
      <c r="C6" s="5">
        <f>Minesweeper!J3</f>
        <v>8.1229999999999993</v>
      </c>
    </row>
    <row r="7" spans="1:3" x14ac:dyDescent="0.25">
      <c r="B7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CF609-04A6-4F7E-8C07-A7D2FDF18265}">
  <dimension ref="A1:I23"/>
  <sheetViews>
    <sheetView workbookViewId="0">
      <selection activeCell="I3" sqref="I3"/>
    </sheetView>
  </sheetViews>
  <sheetFormatPr defaultRowHeight="15" x14ac:dyDescent="0.25"/>
  <cols>
    <col min="1" max="2" width="9.5703125" bestFit="1" customWidth="1"/>
  </cols>
  <sheetData>
    <row r="1" spans="1:9" x14ac:dyDescent="0.25">
      <c r="A1" s="4" t="s">
        <v>2</v>
      </c>
      <c r="B1" s="4"/>
      <c r="C1" s="4" t="s">
        <v>3</v>
      </c>
      <c r="D1" s="4"/>
      <c r="E1" s="4" t="s">
        <v>4</v>
      </c>
      <c r="F1" s="4"/>
      <c r="G1" s="4" t="s">
        <v>5</v>
      </c>
      <c r="H1" s="4"/>
      <c r="I1" t="s">
        <v>8</v>
      </c>
    </row>
    <row r="2" spans="1:9" x14ac:dyDescent="0.25">
      <c r="A2" s="1" t="s">
        <v>0</v>
      </c>
      <c r="B2" s="1" t="s">
        <v>1</v>
      </c>
      <c r="C2" s="1" t="s">
        <v>0</v>
      </c>
      <c r="D2" s="1" t="s">
        <v>1</v>
      </c>
      <c r="E2" s="1" t="s">
        <v>0</v>
      </c>
      <c r="F2" s="1" t="s">
        <v>1</v>
      </c>
      <c r="G2" s="1" t="s">
        <v>0</v>
      </c>
      <c r="H2" s="1" t="s">
        <v>1</v>
      </c>
      <c r="I2">
        <v>6.9889999999999999</v>
      </c>
    </row>
    <row r="3" spans="1:9" x14ac:dyDescent="0.25">
      <c r="A3">
        <v>0.63700000000000001</v>
      </c>
      <c r="B3">
        <v>0.72199999999999998</v>
      </c>
      <c r="C3">
        <v>11</v>
      </c>
      <c r="D3">
        <v>12</v>
      </c>
      <c r="E3">
        <v>12</v>
      </c>
      <c r="F3">
        <v>18</v>
      </c>
      <c r="G3">
        <v>6</v>
      </c>
      <c r="H3">
        <v>9</v>
      </c>
    </row>
    <row r="4" spans="1:9" x14ac:dyDescent="0.25">
      <c r="A4">
        <v>0.63</v>
      </c>
      <c r="B4">
        <v>0.72699999999999998</v>
      </c>
      <c r="C4">
        <v>11</v>
      </c>
      <c r="D4">
        <v>11</v>
      </c>
    </row>
    <row r="5" spans="1:9" x14ac:dyDescent="0.25">
      <c r="A5">
        <v>0.63400000000000001</v>
      </c>
      <c r="B5">
        <v>0.72</v>
      </c>
      <c r="C5">
        <v>12</v>
      </c>
      <c r="D5">
        <v>11</v>
      </c>
    </row>
    <row r="6" spans="1:9" x14ac:dyDescent="0.25">
      <c r="A6">
        <v>0.627</v>
      </c>
      <c r="B6">
        <v>0.73599999999999999</v>
      </c>
    </row>
    <row r="7" spans="1:9" x14ac:dyDescent="0.25">
      <c r="A7">
        <v>0.63300000000000001</v>
      </c>
      <c r="B7">
        <v>0.73799999999999999</v>
      </c>
    </row>
    <row r="8" spans="1:9" x14ac:dyDescent="0.25">
      <c r="A8">
        <v>0.627</v>
      </c>
      <c r="B8">
        <v>0.74299999999999999</v>
      </c>
    </row>
    <row r="9" spans="1:9" x14ac:dyDescent="0.25">
      <c r="A9">
        <v>0.61899999999999999</v>
      </c>
      <c r="B9">
        <v>0.73899999999999999</v>
      </c>
    </row>
    <row r="10" spans="1:9" x14ac:dyDescent="0.25">
      <c r="A10">
        <v>0.64</v>
      </c>
      <c r="B10">
        <v>0.73399999999999999</v>
      </c>
    </row>
    <row r="11" spans="1:9" x14ac:dyDescent="0.25">
      <c r="A11">
        <v>0.627</v>
      </c>
      <c r="B11">
        <v>0.73399999999999999</v>
      </c>
    </row>
    <row r="12" spans="1:9" x14ac:dyDescent="0.25">
      <c r="A12">
        <v>0.63800000000000001</v>
      </c>
      <c r="B12">
        <v>0.73499999999999999</v>
      </c>
    </row>
    <row r="13" spans="1:9" x14ac:dyDescent="0.25">
      <c r="A13">
        <v>0.626</v>
      </c>
      <c r="B13">
        <v>0.74299999999999999</v>
      </c>
    </row>
    <row r="14" spans="1:9" x14ac:dyDescent="0.25">
      <c r="A14">
        <v>0.61799999999999999</v>
      </c>
      <c r="B14">
        <v>0.73199999999999998</v>
      </c>
    </row>
    <row r="15" spans="1:9" x14ac:dyDescent="0.25">
      <c r="A15">
        <v>0.63100000000000001</v>
      </c>
      <c r="B15">
        <v>0.73099999999999998</v>
      </c>
    </row>
    <row r="16" spans="1:9" x14ac:dyDescent="0.25">
      <c r="A16">
        <v>0.61599999999999999</v>
      </c>
      <c r="B16">
        <v>0.74399999999999999</v>
      </c>
    </row>
    <row r="17" spans="1:2" x14ac:dyDescent="0.25">
      <c r="A17">
        <v>0.626</v>
      </c>
      <c r="B17">
        <v>0.74199999999999999</v>
      </c>
    </row>
    <row r="18" spans="1:2" x14ac:dyDescent="0.25">
      <c r="A18">
        <v>0.61899999999999999</v>
      </c>
      <c r="B18">
        <v>0.73499999999999999</v>
      </c>
    </row>
    <row r="19" spans="1:2" x14ac:dyDescent="0.25">
      <c r="A19">
        <v>0.625</v>
      </c>
      <c r="B19">
        <v>0.74299999999999999</v>
      </c>
    </row>
    <row r="20" spans="1:2" x14ac:dyDescent="0.25">
      <c r="A20">
        <v>0.64600000000000002</v>
      </c>
      <c r="B20">
        <v>0.73899999999999999</v>
      </c>
    </row>
    <row r="21" spans="1:2" x14ac:dyDescent="0.25">
      <c r="A21">
        <v>0.64100000000000001</v>
      </c>
      <c r="B21">
        <v>0.73899999999999999</v>
      </c>
    </row>
    <row r="22" spans="1:2" ht="15.75" thickBot="1" x14ac:dyDescent="0.3">
      <c r="A22" s="3">
        <v>0.63300000000000001</v>
      </c>
      <c r="B22" s="3">
        <v>0.745</v>
      </c>
    </row>
    <row r="23" spans="1:2" ht="15.75" thickTop="1" x14ac:dyDescent="0.25">
      <c r="A23" s="2">
        <f>AVERAGE(A3:A22)</f>
        <v>0.62965000000000004</v>
      </c>
      <c r="B23" s="2">
        <f>AVERAGE(B3:B22)</f>
        <v>0.73604999999999998</v>
      </c>
    </row>
  </sheetData>
  <mergeCells count="4">
    <mergeCell ref="A1:B1"/>
    <mergeCell ref="C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32C7B-AF1E-455E-8D1C-DADE3734388A}">
  <dimension ref="A1:J16"/>
  <sheetViews>
    <sheetView workbookViewId="0">
      <selection activeCell="B38" sqref="B38"/>
    </sheetView>
  </sheetViews>
  <sheetFormatPr defaultRowHeight="15" x14ac:dyDescent="0.25"/>
  <sheetData>
    <row r="1" spans="1:10" x14ac:dyDescent="0.25">
      <c r="A1" s="4" t="s">
        <v>2</v>
      </c>
      <c r="B1" s="4"/>
      <c r="C1" s="4" t="s">
        <v>3</v>
      </c>
      <c r="D1" s="4"/>
      <c r="E1" s="4" t="s">
        <v>4</v>
      </c>
      <c r="F1" s="4"/>
      <c r="G1" s="4" t="s">
        <v>5</v>
      </c>
      <c r="H1" s="4"/>
      <c r="I1" s="4" t="s">
        <v>8</v>
      </c>
      <c r="J1" s="4"/>
    </row>
    <row r="2" spans="1:10" x14ac:dyDescent="0.25">
      <c r="A2" t="s">
        <v>6</v>
      </c>
      <c r="B2" t="s">
        <v>7</v>
      </c>
      <c r="C2" t="s">
        <v>6</v>
      </c>
      <c r="D2" t="s">
        <v>7</v>
      </c>
      <c r="E2" t="s">
        <v>6</v>
      </c>
      <c r="F2" t="s">
        <v>7</v>
      </c>
      <c r="G2" t="s">
        <v>6</v>
      </c>
      <c r="H2" t="s">
        <v>7</v>
      </c>
      <c r="I2" t="s">
        <v>6</v>
      </c>
      <c r="J2" t="s">
        <v>7</v>
      </c>
    </row>
    <row r="3" spans="1:10" x14ac:dyDescent="0.25">
      <c r="A3">
        <v>0.69</v>
      </c>
      <c r="B3">
        <v>0.83699999999999997</v>
      </c>
      <c r="C3">
        <v>14</v>
      </c>
      <c r="D3">
        <v>36</v>
      </c>
      <c r="E3">
        <v>12</v>
      </c>
      <c r="F3">
        <v>20</v>
      </c>
      <c r="G3">
        <v>1</v>
      </c>
      <c r="H3">
        <v>6</v>
      </c>
      <c r="I3">
        <v>4.9370000000000003</v>
      </c>
      <c r="J3">
        <v>7.2649999999999997</v>
      </c>
    </row>
    <row r="4" spans="1:10" x14ac:dyDescent="0.25">
      <c r="A4">
        <v>0.69</v>
      </c>
      <c r="B4">
        <v>0.875</v>
      </c>
      <c r="C4">
        <v>14</v>
      </c>
      <c r="D4">
        <v>37</v>
      </c>
    </row>
    <row r="5" spans="1:10" x14ac:dyDescent="0.25">
      <c r="A5">
        <v>0.69099999999999995</v>
      </c>
      <c r="B5">
        <v>0.875</v>
      </c>
      <c r="C5">
        <v>13</v>
      </c>
      <c r="D5">
        <v>36</v>
      </c>
    </row>
    <row r="6" spans="1:10" x14ac:dyDescent="0.25">
      <c r="A6">
        <v>0.69199999999999995</v>
      </c>
      <c r="B6">
        <v>0.877</v>
      </c>
      <c r="C6">
        <v>13</v>
      </c>
      <c r="D6">
        <v>37</v>
      </c>
    </row>
    <row r="7" spans="1:10" x14ac:dyDescent="0.25">
      <c r="A7">
        <v>0.68799999999999994</v>
      </c>
      <c r="B7">
        <v>0.88100000000000001</v>
      </c>
      <c r="C7">
        <v>15</v>
      </c>
      <c r="D7">
        <v>37</v>
      </c>
    </row>
    <row r="8" spans="1:10" x14ac:dyDescent="0.25">
      <c r="A8">
        <v>0.69499999999999995</v>
      </c>
      <c r="B8">
        <v>0.876</v>
      </c>
      <c r="C8">
        <v>14</v>
      </c>
      <c r="D8">
        <v>37</v>
      </c>
    </row>
    <row r="9" spans="1:10" x14ac:dyDescent="0.25">
      <c r="A9">
        <v>0.68799999999999994</v>
      </c>
      <c r="B9">
        <v>0.876</v>
      </c>
      <c r="C9">
        <v>14</v>
      </c>
      <c r="D9">
        <v>36</v>
      </c>
    </row>
    <row r="10" spans="1:10" x14ac:dyDescent="0.25">
      <c r="A10">
        <v>0.68899999999999995</v>
      </c>
      <c r="B10">
        <v>0.88200000000000001</v>
      </c>
      <c r="C10">
        <v>14</v>
      </c>
      <c r="D10">
        <v>37</v>
      </c>
    </row>
    <row r="11" spans="1:10" x14ac:dyDescent="0.25">
      <c r="A11">
        <v>0.68500000000000005</v>
      </c>
      <c r="B11">
        <v>0.878</v>
      </c>
      <c r="C11">
        <v>13</v>
      </c>
      <c r="D11">
        <v>36</v>
      </c>
    </row>
    <row r="12" spans="1:10" x14ac:dyDescent="0.25">
      <c r="A12">
        <v>0.68300000000000005</v>
      </c>
      <c r="B12">
        <v>0.878</v>
      </c>
      <c r="C12">
        <v>14</v>
      </c>
      <c r="D12">
        <v>38</v>
      </c>
    </row>
    <row r="13" spans="1:10" x14ac:dyDescent="0.25">
      <c r="A13">
        <v>0.67700000000000005</v>
      </c>
      <c r="B13">
        <v>0.875</v>
      </c>
      <c r="C13">
        <v>14</v>
      </c>
      <c r="D13">
        <v>36</v>
      </c>
    </row>
    <row r="14" spans="1:10" x14ac:dyDescent="0.25">
      <c r="A14">
        <v>0.68300000000000005</v>
      </c>
      <c r="B14">
        <v>0.879</v>
      </c>
      <c r="C14">
        <v>17</v>
      </c>
      <c r="D14">
        <v>36</v>
      </c>
    </row>
    <row r="15" spans="1:10" ht="15.75" thickBot="1" x14ac:dyDescent="0.3">
      <c r="A15" s="3">
        <v>0.69299999999999995</v>
      </c>
      <c r="B15" s="3">
        <v>0.877</v>
      </c>
      <c r="C15" s="3">
        <v>15</v>
      </c>
      <c r="D15" s="3">
        <v>37</v>
      </c>
    </row>
    <row r="16" spans="1:10" ht="15.75" thickTop="1" x14ac:dyDescent="0.25">
      <c r="A16" s="2">
        <f>AVERAGE(A3:A15)</f>
        <v>0.68799999999999994</v>
      </c>
      <c r="B16" s="2">
        <f t="shared" ref="B16:D16" si="0">AVERAGE(B3:B15)</f>
        <v>0.87430769230769223</v>
      </c>
      <c r="C16" s="6">
        <f t="shared" si="0"/>
        <v>14.153846153846153</v>
      </c>
      <c r="D16" s="6">
        <f t="shared" si="0"/>
        <v>36.615384615384613</v>
      </c>
    </row>
  </sheetData>
  <mergeCells count="5">
    <mergeCell ref="A1:B1"/>
    <mergeCell ref="C1:D1"/>
    <mergeCell ref="E1:F1"/>
    <mergeCell ref="G1:H1"/>
    <mergeCell ref="I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17C3D-1FDF-4D1D-AD60-6CCE46CAE374}">
  <dimension ref="A1:J18"/>
  <sheetViews>
    <sheetView workbookViewId="0">
      <selection sqref="A1:J18"/>
    </sheetView>
  </sheetViews>
  <sheetFormatPr defaultRowHeight="15" x14ac:dyDescent="0.25"/>
  <sheetData>
    <row r="1" spans="1:10" x14ac:dyDescent="0.25">
      <c r="A1" s="4" t="s">
        <v>2</v>
      </c>
      <c r="B1" s="4"/>
      <c r="C1" s="4" t="s">
        <v>3</v>
      </c>
      <c r="D1" s="4"/>
      <c r="E1" s="4" t="s">
        <v>4</v>
      </c>
      <c r="F1" s="4"/>
      <c r="G1" s="4" t="s">
        <v>5</v>
      </c>
      <c r="H1" s="4"/>
      <c r="I1" s="4" t="s">
        <v>8</v>
      </c>
      <c r="J1" s="4"/>
    </row>
    <row r="2" spans="1:10" x14ac:dyDescent="0.25">
      <c r="A2" s="1" t="s">
        <v>6</v>
      </c>
      <c r="B2" s="1" t="s">
        <v>7</v>
      </c>
      <c r="C2" s="1" t="s">
        <v>6</v>
      </c>
      <c r="D2" s="1" t="s">
        <v>7</v>
      </c>
      <c r="E2" t="s">
        <v>6</v>
      </c>
      <c r="F2" t="s">
        <v>7</v>
      </c>
      <c r="G2" t="s">
        <v>6</v>
      </c>
      <c r="H2" t="s">
        <v>7</v>
      </c>
      <c r="I2" t="s">
        <v>6</v>
      </c>
      <c r="J2" t="s">
        <v>7</v>
      </c>
    </row>
    <row r="3" spans="1:10" x14ac:dyDescent="0.25">
      <c r="A3">
        <v>0.68700000000000006</v>
      </c>
      <c r="B3">
        <v>0.85399999999999998</v>
      </c>
      <c r="C3">
        <v>12</v>
      </c>
      <c r="D3">
        <v>37</v>
      </c>
      <c r="E3">
        <v>12</v>
      </c>
      <c r="F3">
        <v>26</v>
      </c>
      <c r="G3">
        <v>1</v>
      </c>
      <c r="H3">
        <v>13</v>
      </c>
      <c r="I3">
        <v>5.0510000000000002</v>
      </c>
      <c r="J3">
        <v>9.5980000000000008</v>
      </c>
    </row>
    <row r="4" spans="1:10" x14ac:dyDescent="0.25">
      <c r="A4">
        <v>0.70099999999999996</v>
      </c>
      <c r="B4">
        <v>0.85499999999999998</v>
      </c>
      <c r="C4">
        <v>15</v>
      </c>
      <c r="D4">
        <v>38</v>
      </c>
    </row>
    <row r="5" spans="1:10" x14ac:dyDescent="0.25">
      <c r="A5">
        <v>0.69799999999999995</v>
      </c>
      <c r="B5">
        <v>0.85399999999999998</v>
      </c>
      <c r="C5">
        <v>11</v>
      </c>
      <c r="D5">
        <v>38</v>
      </c>
    </row>
    <row r="6" spans="1:10" x14ac:dyDescent="0.25">
      <c r="A6">
        <v>0.69499999999999995</v>
      </c>
      <c r="B6">
        <v>0.85499999999999998</v>
      </c>
      <c r="C6">
        <v>13</v>
      </c>
      <c r="D6">
        <v>39</v>
      </c>
    </row>
    <row r="7" spans="1:10" x14ac:dyDescent="0.25">
      <c r="A7">
        <v>0.68899999999999995</v>
      </c>
      <c r="B7">
        <v>0.85299999999999998</v>
      </c>
      <c r="C7">
        <v>16</v>
      </c>
      <c r="D7">
        <v>39</v>
      </c>
    </row>
    <row r="8" spans="1:10" x14ac:dyDescent="0.25">
      <c r="A8">
        <v>0.70099999999999996</v>
      </c>
      <c r="B8">
        <v>0.85199999999999998</v>
      </c>
      <c r="C8">
        <v>15</v>
      </c>
      <c r="D8">
        <v>36</v>
      </c>
    </row>
    <row r="9" spans="1:10" x14ac:dyDescent="0.25">
      <c r="A9">
        <v>0.68600000000000005</v>
      </c>
      <c r="B9">
        <v>0.84799999999999998</v>
      </c>
      <c r="C9">
        <v>14</v>
      </c>
      <c r="D9">
        <v>38</v>
      </c>
    </row>
    <row r="10" spans="1:10" x14ac:dyDescent="0.25">
      <c r="A10">
        <v>0.69399999999999995</v>
      </c>
      <c r="B10">
        <v>0.85599999999999998</v>
      </c>
      <c r="C10">
        <v>16</v>
      </c>
      <c r="D10">
        <v>39</v>
      </c>
    </row>
    <row r="11" spans="1:10" x14ac:dyDescent="0.25">
      <c r="A11">
        <v>0.69099999999999995</v>
      </c>
      <c r="B11">
        <v>0.85499999999999998</v>
      </c>
      <c r="C11">
        <v>16</v>
      </c>
      <c r="D11">
        <v>38</v>
      </c>
    </row>
    <row r="12" spans="1:10" x14ac:dyDescent="0.25">
      <c r="A12">
        <v>0.68700000000000006</v>
      </c>
      <c r="B12">
        <v>0.85499999999999998</v>
      </c>
      <c r="C12">
        <v>14</v>
      </c>
      <c r="D12">
        <v>37</v>
      </c>
    </row>
    <row r="13" spans="1:10" x14ac:dyDescent="0.25">
      <c r="A13">
        <v>0.69599999999999995</v>
      </c>
      <c r="B13">
        <v>0.85</v>
      </c>
      <c r="C13">
        <v>16</v>
      </c>
      <c r="D13">
        <v>37</v>
      </c>
    </row>
    <row r="14" spans="1:10" x14ac:dyDescent="0.25">
      <c r="A14">
        <v>0.7</v>
      </c>
      <c r="B14">
        <v>0.85699999999999998</v>
      </c>
      <c r="C14">
        <v>17</v>
      </c>
      <c r="D14">
        <v>40</v>
      </c>
    </row>
    <row r="15" spans="1:10" x14ac:dyDescent="0.25">
      <c r="A15">
        <v>0.70399999999999996</v>
      </c>
      <c r="B15">
        <v>0.85599999999999998</v>
      </c>
      <c r="C15">
        <v>16</v>
      </c>
      <c r="D15">
        <v>38</v>
      </c>
    </row>
    <row r="16" spans="1:10" x14ac:dyDescent="0.25">
      <c r="A16">
        <v>0.69199999999999995</v>
      </c>
      <c r="B16">
        <v>0.84899999999999998</v>
      </c>
      <c r="C16">
        <v>15</v>
      </c>
      <c r="D16">
        <v>37</v>
      </c>
    </row>
    <row r="17" spans="1:4" ht="15.75" thickBot="1" x14ac:dyDescent="0.3">
      <c r="A17" s="3">
        <v>0.69799999999999995</v>
      </c>
      <c r="B17" s="3">
        <v>0.85299999999999998</v>
      </c>
      <c r="C17" s="3">
        <v>14</v>
      </c>
      <c r="D17" s="3">
        <v>39</v>
      </c>
    </row>
    <row r="18" spans="1:4" ht="15.75" thickTop="1" x14ac:dyDescent="0.25">
      <c r="A18" s="2">
        <f>AVERAGE(A3:A17)</f>
        <v>0.6946</v>
      </c>
      <c r="B18" s="2">
        <f t="shared" ref="B18:D18" si="0">AVERAGE(B3:B17)</f>
        <v>0.8534666666666666</v>
      </c>
      <c r="C18" s="6">
        <f t="shared" si="0"/>
        <v>14.666666666666666</v>
      </c>
      <c r="D18" s="6">
        <f t="shared" si="0"/>
        <v>38</v>
      </c>
    </row>
  </sheetData>
  <mergeCells count="5">
    <mergeCell ref="A1:B1"/>
    <mergeCell ref="C1:D1"/>
    <mergeCell ref="E1:F1"/>
    <mergeCell ref="G1:H1"/>
    <mergeCell ref="I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6F542-BDA4-47B4-86F9-9263219DCC66}">
  <dimension ref="A1:Z35"/>
  <sheetViews>
    <sheetView workbookViewId="0">
      <selection activeCell="I11" sqref="I11"/>
    </sheetView>
  </sheetViews>
  <sheetFormatPr defaultRowHeight="15" x14ac:dyDescent="0.25"/>
  <sheetData>
    <row r="1" spans="1:26" x14ac:dyDescent="0.25">
      <c r="A1" s="4" t="s">
        <v>2</v>
      </c>
      <c r="B1" s="4"/>
      <c r="C1" s="4" t="s">
        <v>3</v>
      </c>
      <c r="D1" s="4"/>
      <c r="E1" s="4" t="s">
        <v>4</v>
      </c>
      <c r="F1" s="4"/>
      <c r="G1" s="4" t="s">
        <v>5</v>
      </c>
      <c r="H1" s="4"/>
      <c r="I1" s="4" t="s">
        <v>8</v>
      </c>
      <c r="J1" s="4"/>
      <c r="L1" t="s">
        <v>14</v>
      </c>
      <c r="M1" t="s">
        <v>16</v>
      </c>
      <c r="N1" t="s">
        <v>17</v>
      </c>
      <c r="O1" t="s">
        <v>18</v>
      </c>
      <c r="P1" t="s">
        <v>19</v>
      </c>
      <c r="Q1" t="s">
        <v>14</v>
      </c>
      <c r="R1" t="s">
        <v>20</v>
      </c>
      <c r="S1" t="s">
        <v>14</v>
      </c>
      <c r="T1" t="s">
        <v>21</v>
      </c>
      <c r="U1" t="s">
        <v>14</v>
      </c>
      <c r="V1" t="s">
        <v>22</v>
      </c>
      <c r="W1" t="s">
        <v>16</v>
      </c>
      <c r="X1" t="s">
        <v>23</v>
      </c>
      <c r="Y1" t="s">
        <v>23</v>
      </c>
      <c r="Z1" t="s">
        <v>17</v>
      </c>
    </row>
    <row r="2" spans="1:26" x14ac:dyDescent="0.25">
      <c r="A2" s="1" t="s">
        <v>6</v>
      </c>
      <c r="B2" s="1" t="s">
        <v>7</v>
      </c>
      <c r="C2" s="1" t="s">
        <v>6</v>
      </c>
      <c r="D2" s="1" t="s">
        <v>7</v>
      </c>
      <c r="E2" t="s">
        <v>6</v>
      </c>
      <c r="F2" t="s">
        <v>7</v>
      </c>
      <c r="G2" t="s">
        <v>6</v>
      </c>
      <c r="H2" t="s">
        <v>7</v>
      </c>
      <c r="I2" t="s">
        <v>6</v>
      </c>
      <c r="J2" t="s">
        <v>7</v>
      </c>
      <c r="L2" t="s">
        <v>15</v>
      </c>
      <c r="M2" t="s">
        <v>11</v>
      </c>
      <c r="N2" t="s">
        <v>13</v>
      </c>
      <c r="O2" t="s">
        <v>15</v>
      </c>
      <c r="P2" t="s">
        <v>13</v>
      </c>
      <c r="Q2" t="s">
        <v>15</v>
      </c>
      <c r="R2" t="s">
        <v>10</v>
      </c>
      <c r="S2" t="s">
        <v>13</v>
      </c>
      <c r="T2" t="s">
        <v>15</v>
      </c>
      <c r="U2" t="s">
        <v>10</v>
      </c>
      <c r="V2" t="s">
        <v>13</v>
      </c>
      <c r="W2" t="s">
        <v>11</v>
      </c>
      <c r="X2" t="s">
        <v>13</v>
      </c>
      <c r="Y2" t="s">
        <v>15</v>
      </c>
      <c r="Z2" t="s">
        <v>15</v>
      </c>
    </row>
    <row r="3" spans="1:26" x14ac:dyDescent="0.25">
      <c r="A3">
        <v>0.70799999999999996</v>
      </c>
      <c r="B3">
        <v>0.86799999999999999</v>
      </c>
      <c r="C3">
        <v>19</v>
      </c>
      <c r="D3">
        <v>41</v>
      </c>
      <c r="E3">
        <v>14</v>
      </c>
      <c r="F3">
        <v>26</v>
      </c>
      <c r="G3">
        <v>1</v>
      </c>
      <c r="H3">
        <v>13</v>
      </c>
      <c r="I3">
        <v>5.218</v>
      </c>
      <c r="J3">
        <v>9.51</v>
      </c>
    </row>
    <row r="4" spans="1:26" x14ac:dyDescent="0.25">
      <c r="A4">
        <v>0.71</v>
      </c>
      <c r="B4">
        <v>0.86299999999999999</v>
      </c>
      <c r="C4">
        <v>19</v>
      </c>
      <c r="D4">
        <v>39</v>
      </c>
    </row>
    <row r="5" spans="1:26" x14ac:dyDescent="0.25">
      <c r="A5">
        <v>0.71</v>
      </c>
      <c r="B5">
        <v>0.86899999999999999</v>
      </c>
      <c r="C5">
        <v>20</v>
      </c>
      <c r="D5">
        <v>40</v>
      </c>
    </row>
    <row r="6" spans="1:26" x14ac:dyDescent="0.25">
      <c r="A6">
        <v>0.70599999999999996</v>
      </c>
      <c r="B6">
        <v>0.87</v>
      </c>
      <c r="C6">
        <v>17</v>
      </c>
      <c r="D6">
        <v>41</v>
      </c>
    </row>
    <row r="7" spans="1:26" x14ac:dyDescent="0.25">
      <c r="A7">
        <v>0.69799999999999995</v>
      </c>
      <c r="B7">
        <v>0.86599999999999999</v>
      </c>
      <c r="C7">
        <v>18</v>
      </c>
      <c r="D7">
        <v>40</v>
      </c>
    </row>
    <row r="8" spans="1:26" x14ac:dyDescent="0.25">
      <c r="A8">
        <v>0.70199999999999996</v>
      </c>
      <c r="B8">
        <v>0.86799999999999999</v>
      </c>
      <c r="C8">
        <v>22</v>
      </c>
      <c r="D8">
        <v>41</v>
      </c>
    </row>
    <row r="9" spans="1:26" x14ac:dyDescent="0.25">
      <c r="A9">
        <v>0.69499999999999995</v>
      </c>
      <c r="B9">
        <v>0.871</v>
      </c>
      <c r="C9">
        <v>19</v>
      </c>
      <c r="D9">
        <v>38</v>
      </c>
    </row>
    <row r="10" spans="1:26" x14ac:dyDescent="0.25">
      <c r="A10">
        <v>0.69499999999999995</v>
      </c>
      <c r="B10">
        <v>0.86799999999999999</v>
      </c>
      <c r="C10">
        <v>20</v>
      </c>
      <c r="D10">
        <v>40</v>
      </c>
    </row>
    <row r="11" spans="1:26" x14ac:dyDescent="0.25">
      <c r="A11">
        <v>0.70499999999999996</v>
      </c>
      <c r="B11">
        <v>0.86399999999999999</v>
      </c>
      <c r="C11">
        <v>18</v>
      </c>
      <c r="D11">
        <v>41</v>
      </c>
    </row>
    <row r="12" spans="1:26" x14ac:dyDescent="0.25">
      <c r="A12">
        <v>0.70499999999999996</v>
      </c>
      <c r="B12">
        <v>0.86799999999999999</v>
      </c>
      <c r="C12">
        <v>19</v>
      </c>
      <c r="D12">
        <v>38</v>
      </c>
    </row>
    <row r="13" spans="1:26" x14ac:dyDescent="0.25">
      <c r="A13">
        <v>0.70099999999999996</v>
      </c>
      <c r="B13">
        <v>0.872</v>
      </c>
      <c r="C13">
        <v>20</v>
      </c>
      <c r="D13">
        <v>40</v>
      </c>
    </row>
    <row r="14" spans="1:26" x14ac:dyDescent="0.25">
      <c r="A14">
        <v>0.71</v>
      </c>
      <c r="B14">
        <v>0.86299999999999999</v>
      </c>
      <c r="C14">
        <v>18</v>
      </c>
      <c r="D14">
        <v>39</v>
      </c>
    </row>
    <row r="15" spans="1:26" x14ac:dyDescent="0.25">
      <c r="A15">
        <v>0.70499999999999996</v>
      </c>
      <c r="B15">
        <v>0.86499999999999999</v>
      </c>
      <c r="C15">
        <v>18</v>
      </c>
      <c r="D15">
        <v>40</v>
      </c>
    </row>
    <row r="16" spans="1:26" x14ac:dyDescent="0.25">
      <c r="A16">
        <v>0.70099999999999996</v>
      </c>
      <c r="B16">
        <v>0.86499999999999999</v>
      </c>
      <c r="C16">
        <v>20</v>
      </c>
      <c r="D16">
        <v>41</v>
      </c>
    </row>
    <row r="17" spans="1:9" ht="15.75" thickBot="1" x14ac:dyDescent="0.3">
      <c r="A17" s="3">
        <v>0.70499999999999996</v>
      </c>
      <c r="B17" s="3">
        <v>0.86899999999999999</v>
      </c>
      <c r="C17" s="3">
        <v>20</v>
      </c>
      <c r="D17" s="3">
        <v>41</v>
      </c>
    </row>
    <row r="18" spans="1:9" ht="15.75" thickTop="1" x14ac:dyDescent="0.25">
      <c r="A18" s="2">
        <f>AVERAGE(A3:A17)</f>
        <v>0.70373333333333343</v>
      </c>
      <c r="B18" s="2">
        <f t="shared" ref="B18:D18" si="0">AVERAGE(B3:B17)</f>
        <v>0.86726666666666652</v>
      </c>
      <c r="C18" s="6">
        <f t="shared" si="0"/>
        <v>19.133333333333333</v>
      </c>
      <c r="D18" s="6">
        <f t="shared" si="0"/>
        <v>40</v>
      </c>
    </row>
    <row r="21" spans="1:9" x14ac:dyDescent="0.25">
      <c r="F21" t="str" cm="1">
        <f t="array" ref="F21:G35">TRANSPOSE(L1:Z2)</f>
        <v>Modularity: 0,868</v>
      </c>
      <c r="G21" t="str">
        <v>Number of Communities: 41</v>
      </c>
      <c r="H21">
        <f>_xlfn.NUMBERVALUE(SUBSTITUTE(F21,"Modularity: ",""))</f>
        <v>0.86799999999999999</v>
      </c>
      <c r="I21">
        <f>_xlfn.NUMBERVALUE(SUBSTITUTE(G21,"Number of Communities: ",""))</f>
        <v>41</v>
      </c>
    </row>
    <row r="22" spans="1:9" x14ac:dyDescent="0.25">
      <c r="F22" t="str">
        <v>Modularity: 0,863</v>
      </c>
      <c r="G22" t="str">
        <v>Number of Communities: 39</v>
      </c>
      <c r="H22">
        <f t="shared" ref="H22:H35" si="1">_xlfn.NUMBERVALUE(SUBSTITUTE(F22,"Modularity: ",""))</f>
        <v>0.86299999999999999</v>
      </c>
      <c r="I22">
        <f t="shared" ref="I22:I35" si="2">_xlfn.NUMBERVALUE(SUBSTITUTE(G22,"Number of Communities: ",""))</f>
        <v>39</v>
      </c>
    </row>
    <row r="23" spans="1:9" x14ac:dyDescent="0.25">
      <c r="F23" t="str">
        <v>Modularity: 0,869</v>
      </c>
      <c r="G23" t="str">
        <v>Number of Communities: 40</v>
      </c>
      <c r="H23">
        <f t="shared" si="1"/>
        <v>0.86899999999999999</v>
      </c>
      <c r="I23">
        <f t="shared" si="2"/>
        <v>40</v>
      </c>
    </row>
    <row r="24" spans="1:9" x14ac:dyDescent="0.25">
      <c r="F24" t="str">
        <v>Modularity: 0,870</v>
      </c>
      <c r="G24" t="str">
        <v>Number of Communities: 41</v>
      </c>
      <c r="H24">
        <f t="shared" si="1"/>
        <v>0.87</v>
      </c>
      <c r="I24">
        <f t="shared" si="2"/>
        <v>41</v>
      </c>
    </row>
    <row r="25" spans="1:9" x14ac:dyDescent="0.25">
      <c r="F25" t="str">
        <v>Modularity: 0,866</v>
      </c>
      <c r="G25" t="str">
        <v>Number of Communities: 40</v>
      </c>
      <c r="H25">
        <f t="shared" si="1"/>
        <v>0.86599999999999999</v>
      </c>
      <c r="I25">
        <f t="shared" si="2"/>
        <v>40</v>
      </c>
    </row>
    <row r="26" spans="1:9" x14ac:dyDescent="0.25">
      <c r="F26" t="str">
        <v>Modularity: 0,868</v>
      </c>
      <c r="G26" t="str">
        <v>Number of Communities: 41</v>
      </c>
      <c r="H26">
        <f t="shared" si="1"/>
        <v>0.86799999999999999</v>
      </c>
      <c r="I26">
        <f t="shared" si="2"/>
        <v>41</v>
      </c>
    </row>
    <row r="27" spans="1:9" x14ac:dyDescent="0.25">
      <c r="F27" t="str">
        <v>Modularity: 0,871</v>
      </c>
      <c r="G27" t="str">
        <v>Number of Communities: 38</v>
      </c>
      <c r="H27">
        <f t="shared" si="1"/>
        <v>0.871</v>
      </c>
      <c r="I27">
        <f t="shared" si="2"/>
        <v>38</v>
      </c>
    </row>
    <row r="28" spans="1:9" x14ac:dyDescent="0.25">
      <c r="F28" t="str">
        <v>Modularity: 0,868</v>
      </c>
      <c r="G28" t="str">
        <v>Number of Communities: 40</v>
      </c>
      <c r="H28">
        <f t="shared" si="1"/>
        <v>0.86799999999999999</v>
      </c>
      <c r="I28">
        <f t="shared" si="2"/>
        <v>40</v>
      </c>
    </row>
    <row r="29" spans="1:9" x14ac:dyDescent="0.25">
      <c r="F29" t="str">
        <v>Modularity: 0,864</v>
      </c>
      <c r="G29" t="str">
        <v>Number of Communities: 41</v>
      </c>
      <c r="H29">
        <f t="shared" si="1"/>
        <v>0.86399999999999999</v>
      </c>
      <c r="I29">
        <f t="shared" si="2"/>
        <v>41</v>
      </c>
    </row>
    <row r="30" spans="1:9" x14ac:dyDescent="0.25">
      <c r="F30" t="str">
        <v>Modularity: 0,868</v>
      </c>
      <c r="G30" t="str">
        <v>Number of Communities: 38</v>
      </c>
      <c r="H30">
        <f t="shared" si="1"/>
        <v>0.86799999999999999</v>
      </c>
      <c r="I30">
        <f t="shared" si="2"/>
        <v>38</v>
      </c>
    </row>
    <row r="31" spans="1:9" x14ac:dyDescent="0.25">
      <c r="F31" t="str">
        <v>Modularity: 0,872</v>
      </c>
      <c r="G31" t="str">
        <v>Number of Communities: 40</v>
      </c>
      <c r="H31">
        <f t="shared" si="1"/>
        <v>0.872</v>
      </c>
      <c r="I31">
        <f t="shared" si="2"/>
        <v>40</v>
      </c>
    </row>
    <row r="32" spans="1:9" x14ac:dyDescent="0.25">
      <c r="F32" t="str">
        <v>Modularity: 0,863</v>
      </c>
      <c r="G32" t="str">
        <v>Number of Communities: 39</v>
      </c>
      <c r="H32">
        <f t="shared" si="1"/>
        <v>0.86299999999999999</v>
      </c>
      <c r="I32">
        <f t="shared" si="2"/>
        <v>39</v>
      </c>
    </row>
    <row r="33" spans="6:9" x14ac:dyDescent="0.25">
      <c r="F33" t="str">
        <v>Modularity: 0,865</v>
      </c>
      <c r="G33" t="str">
        <v>Number of Communities: 40</v>
      </c>
      <c r="H33">
        <f t="shared" si="1"/>
        <v>0.86499999999999999</v>
      </c>
      <c r="I33">
        <f t="shared" si="2"/>
        <v>40</v>
      </c>
    </row>
    <row r="34" spans="6:9" x14ac:dyDescent="0.25">
      <c r="F34" t="str">
        <v>Modularity: 0,865</v>
      </c>
      <c r="G34" t="str">
        <v>Number of Communities: 41</v>
      </c>
      <c r="H34">
        <f t="shared" si="1"/>
        <v>0.86499999999999999</v>
      </c>
      <c r="I34">
        <f t="shared" si="2"/>
        <v>41</v>
      </c>
    </row>
    <row r="35" spans="6:9" x14ac:dyDescent="0.25">
      <c r="F35" t="str">
        <v>Modularity: 0,869</v>
      </c>
      <c r="G35" t="str">
        <v>Number of Communities: 41</v>
      </c>
      <c r="H35">
        <f t="shared" si="1"/>
        <v>0.86899999999999999</v>
      </c>
      <c r="I35">
        <f t="shared" si="2"/>
        <v>41</v>
      </c>
    </row>
  </sheetData>
  <mergeCells count="5">
    <mergeCell ref="A1:B1"/>
    <mergeCell ref="C1:D1"/>
    <mergeCell ref="E1:F1"/>
    <mergeCell ref="G1:H1"/>
    <mergeCell ref="I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765A8-29F7-4982-93A2-E256E9E14B59}">
  <dimension ref="A1:Z35"/>
  <sheetViews>
    <sheetView workbookViewId="0">
      <selection activeCell="M14" sqref="M14"/>
    </sheetView>
  </sheetViews>
  <sheetFormatPr defaultRowHeight="15" x14ac:dyDescent="0.25"/>
  <sheetData>
    <row r="1" spans="1:26" x14ac:dyDescent="0.25">
      <c r="A1" s="4" t="s">
        <v>2</v>
      </c>
      <c r="B1" s="4"/>
      <c r="C1" s="4" t="s">
        <v>3</v>
      </c>
      <c r="D1" s="4"/>
      <c r="E1" s="4" t="s">
        <v>4</v>
      </c>
      <c r="F1" s="4"/>
      <c r="G1" s="4" t="s">
        <v>5</v>
      </c>
      <c r="H1" s="4"/>
      <c r="I1" s="4" t="s">
        <v>8</v>
      </c>
      <c r="J1" s="4"/>
      <c r="L1" t="s">
        <v>24</v>
      </c>
      <c r="M1" t="s">
        <v>22</v>
      </c>
      <c r="N1" t="s">
        <v>26</v>
      </c>
      <c r="O1" t="s">
        <v>24</v>
      </c>
      <c r="P1" t="s">
        <v>27</v>
      </c>
      <c r="Q1" t="s">
        <v>28</v>
      </c>
      <c r="R1" t="s">
        <v>28</v>
      </c>
      <c r="S1" t="s">
        <v>27</v>
      </c>
      <c r="T1" t="s">
        <v>29</v>
      </c>
      <c r="U1" t="s">
        <v>24</v>
      </c>
      <c r="V1" t="s">
        <v>27</v>
      </c>
      <c r="W1" t="s">
        <v>30</v>
      </c>
      <c r="X1" t="s">
        <v>31</v>
      </c>
      <c r="Y1" t="s">
        <v>22</v>
      </c>
      <c r="Z1" t="s">
        <v>27</v>
      </c>
    </row>
    <row r="2" spans="1:26" x14ac:dyDescent="0.25">
      <c r="A2" s="1" t="s">
        <v>6</v>
      </c>
      <c r="B2" s="1" t="s">
        <v>7</v>
      </c>
      <c r="C2" s="1" t="s">
        <v>6</v>
      </c>
      <c r="D2" s="1" t="s">
        <v>7</v>
      </c>
      <c r="E2" t="s">
        <v>6</v>
      </c>
      <c r="F2" t="s">
        <v>7</v>
      </c>
      <c r="G2" t="s">
        <v>6</v>
      </c>
      <c r="H2" t="s">
        <v>7</v>
      </c>
      <c r="I2" t="s">
        <v>6</v>
      </c>
      <c r="J2" t="s">
        <v>7</v>
      </c>
      <c r="L2" t="s">
        <v>25</v>
      </c>
      <c r="M2" t="s">
        <v>12</v>
      </c>
      <c r="N2" t="s">
        <v>25</v>
      </c>
      <c r="O2" t="s">
        <v>9</v>
      </c>
      <c r="P2" t="s">
        <v>9</v>
      </c>
      <c r="Q2" t="s">
        <v>12</v>
      </c>
      <c r="R2" t="s">
        <v>25</v>
      </c>
      <c r="S2" t="s">
        <v>9</v>
      </c>
      <c r="T2" t="s">
        <v>12</v>
      </c>
      <c r="U2" t="s">
        <v>25</v>
      </c>
      <c r="V2" t="s">
        <v>9</v>
      </c>
      <c r="W2" t="s">
        <v>9</v>
      </c>
      <c r="X2" t="s">
        <v>12</v>
      </c>
      <c r="Y2" t="s">
        <v>12</v>
      </c>
      <c r="Z2" t="s">
        <v>12</v>
      </c>
    </row>
    <row r="3" spans="1:26" x14ac:dyDescent="0.25">
      <c r="A3">
        <v>0.70699999999999996</v>
      </c>
      <c r="B3">
        <v>0.876</v>
      </c>
      <c r="C3">
        <v>18</v>
      </c>
      <c r="D3">
        <v>35</v>
      </c>
      <c r="E3">
        <v>12</v>
      </c>
      <c r="F3">
        <v>18</v>
      </c>
      <c r="G3">
        <v>7</v>
      </c>
      <c r="H3">
        <v>9</v>
      </c>
      <c r="I3">
        <v>5.077</v>
      </c>
      <c r="J3">
        <v>8.1229999999999993</v>
      </c>
    </row>
    <row r="4" spans="1:26" x14ac:dyDescent="0.25">
      <c r="A4">
        <v>0.71599999999999997</v>
      </c>
      <c r="B4">
        <v>0.872</v>
      </c>
      <c r="C4">
        <v>15</v>
      </c>
      <c r="D4">
        <v>36</v>
      </c>
    </row>
    <row r="5" spans="1:26" x14ac:dyDescent="0.25">
      <c r="A5">
        <v>0.72299999999999998</v>
      </c>
      <c r="B5">
        <v>0.879</v>
      </c>
      <c r="C5">
        <v>15</v>
      </c>
      <c r="D5">
        <v>35</v>
      </c>
    </row>
    <row r="6" spans="1:26" x14ac:dyDescent="0.25">
      <c r="A6">
        <v>0.72</v>
      </c>
      <c r="B6">
        <v>0.876</v>
      </c>
      <c r="C6">
        <v>16</v>
      </c>
      <c r="D6">
        <v>37</v>
      </c>
    </row>
    <row r="7" spans="1:26" x14ac:dyDescent="0.25">
      <c r="A7">
        <v>0.72199999999999998</v>
      </c>
      <c r="B7">
        <v>0.878</v>
      </c>
      <c r="C7">
        <v>16</v>
      </c>
      <c r="D7">
        <v>37</v>
      </c>
    </row>
    <row r="8" spans="1:26" x14ac:dyDescent="0.25">
      <c r="A8">
        <v>0.72299999999999998</v>
      </c>
      <c r="B8">
        <v>0.875</v>
      </c>
      <c r="C8">
        <v>16</v>
      </c>
      <c r="D8">
        <v>36</v>
      </c>
    </row>
    <row r="9" spans="1:26" x14ac:dyDescent="0.25">
      <c r="A9">
        <v>0.70799999999999996</v>
      </c>
      <c r="B9">
        <v>0.875</v>
      </c>
      <c r="C9">
        <v>15</v>
      </c>
      <c r="D9">
        <v>35</v>
      </c>
    </row>
    <row r="10" spans="1:26" x14ac:dyDescent="0.25">
      <c r="A10">
        <v>0.70699999999999996</v>
      </c>
      <c r="B10">
        <v>0.878</v>
      </c>
      <c r="C10">
        <v>17</v>
      </c>
      <c r="D10">
        <v>37</v>
      </c>
    </row>
    <row r="11" spans="1:26" x14ac:dyDescent="0.25">
      <c r="A11">
        <v>0.73</v>
      </c>
      <c r="B11">
        <v>0.873</v>
      </c>
      <c r="C11">
        <v>17</v>
      </c>
      <c r="D11">
        <v>36</v>
      </c>
    </row>
    <row r="12" spans="1:26" x14ac:dyDescent="0.25">
      <c r="A12">
        <v>0.72799999999999998</v>
      </c>
      <c r="B12">
        <v>0.876</v>
      </c>
      <c r="C12">
        <v>16</v>
      </c>
      <c r="D12">
        <v>35</v>
      </c>
    </row>
    <row r="13" spans="1:26" x14ac:dyDescent="0.25">
      <c r="A13">
        <v>0.71599999999999997</v>
      </c>
      <c r="B13">
        <v>0.878</v>
      </c>
      <c r="C13">
        <v>16</v>
      </c>
      <c r="D13">
        <v>37</v>
      </c>
    </row>
    <row r="14" spans="1:26" x14ac:dyDescent="0.25">
      <c r="A14">
        <v>0.69699999999999995</v>
      </c>
      <c r="B14">
        <v>0.874</v>
      </c>
      <c r="C14">
        <v>21</v>
      </c>
      <c r="D14">
        <v>37</v>
      </c>
    </row>
    <row r="15" spans="1:26" x14ac:dyDescent="0.25">
      <c r="A15">
        <v>0.72699999999999998</v>
      </c>
      <c r="B15">
        <v>0.877</v>
      </c>
      <c r="C15">
        <v>17</v>
      </c>
      <c r="D15">
        <v>36</v>
      </c>
    </row>
    <row r="16" spans="1:26" x14ac:dyDescent="0.25">
      <c r="A16">
        <v>0.72199999999999998</v>
      </c>
      <c r="B16">
        <v>0.872</v>
      </c>
      <c r="C16">
        <v>16</v>
      </c>
      <c r="D16">
        <v>36</v>
      </c>
    </row>
    <row r="17" spans="1:9" ht="15.75" thickBot="1" x14ac:dyDescent="0.3">
      <c r="A17" s="3">
        <v>0.72199999999999998</v>
      </c>
      <c r="B17" s="3">
        <v>0.878</v>
      </c>
      <c r="C17" s="3">
        <v>15</v>
      </c>
      <c r="D17" s="3">
        <v>36</v>
      </c>
    </row>
    <row r="18" spans="1:9" ht="15.75" thickTop="1" x14ac:dyDescent="0.25">
      <c r="A18" s="2">
        <f>AVERAGE(A3:A17)</f>
        <v>0.71786666666666654</v>
      </c>
      <c r="B18" s="2">
        <f t="shared" ref="B18:D18" si="0">AVERAGE(B3:B17)</f>
        <v>0.87580000000000002</v>
      </c>
      <c r="C18" s="6">
        <f t="shared" si="0"/>
        <v>16.399999999999999</v>
      </c>
      <c r="D18" s="6">
        <f t="shared" si="0"/>
        <v>36.06666666666667</v>
      </c>
    </row>
    <row r="21" spans="1:9" x14ac:dyDescent="0.25">
      <c r="F21" t="str" cm="1">
        <f t="array" ref="F21:G35">TRANSPOSE(L1:Z2)</f>
        <v>Modularity: 0,876</v>
      </c>
      <c r="G21" t="str">
        <v>Number of Communities: 35</v>
      </c>
      <c r="H21">
        <f>_xlfn.NUMBERVALUE(SUBSTITUTE(F21,"Modularity: ",""))</f>
        <v>0.876</v>
      </c>
      <c r="I21">
        <f>_xlfn.NUMBERVALUE(SUBSTITUTE(G21,"Number of Communities: ",""))</f>
        <v>35</v>
      </c>
    </row>
    <row r="22" spans="1:9" x14ac:dyDescent="0.25">
      <c r="F22" t="str">
        <v>Modularity: 0,872</v>
      </c>
      <c r="G22" t="str">
        <v>Number of Communities: 36</v>
      </c>
      <c r="H22">
        <f t="shared" ref="H22:H35" si="1">_xlfn.NUMBERVALUE(SUBSTITUTE(F22,"Modularity: ",""))</f>
        <v>0.872</v>
      </c>
      <c r="I22">
        <f t="shared" ref="I22:I35" si="2">_xlfn.NUMBERVALUE(SUBSTITUTE(G22,"Number of Communities: ",""))</f>
        <v>36</v>
      </c>
    </row>
    <row r="23" spans="1:9" x14ac:dyDescent="0.25">
      <c r="F23" t="str">
        <v>Modularity: 0,879</v>
      </c>
      <c r="G23" t="str">
        <v>Number of Communities: 35</v>
      </c>
      <c r="H23">
        <f t="shared" si="1"/>
        <v>0.879</v>
      </c>
      <c r="I23">
        <f t="shared" si="2"/>
        <v>35</v>
      </c>
    </row>
    <row r="24" spans="1:9" x14ac:dyDescent="0.25">
      <c r="F24" t="str">
        <v>Modularity: 0,876</v>
      </c>
      <c r="G24" t="str">
        <v>Number of Communities: 37</v>
      </c>
      <c r="H24">
        <f t="shared" si="1"/>
        <v>0.876</v>
      </c>
      <c r="I24">
        <f t="shared" si="2"/>
        <v>37</v>
      </c>
    </row>
    <row r="25" spans="1:9" x14ac:dyDescent="0.25">
      <c r="F25" t="str">
        <v>Modularity: 0,878</v>
      </c>
      <c r="G25" t="str">
        <v>Number of Communities: 37</v>
      </c>
      <c r="H25">
        <f t="shared" si="1"/>
        <v>0.878</v>
      </c>
      <c r="I25">
        <f t="shared" si="2"/>
        <v>37</v>
      </c>
    </row>
    <row r="26" spans="1:9" x14ac:dyDescent="0.25">
      <c r="F26" t="str">
        <v>Modularity: 0,875</v>
      </c>
      <c r="G26" t="str">
        <v>Number of Communities: 36</v>
      </c>
      <c r="H26">
        <f t="shared" si="1"/>
        <v>0.875</v>
      </c>
      <c r="I26">
        <f t="shared" si="2"/>
        <v>36</v>
      </c>
    </row>
    <row r="27" spans="1:9" x14ac:dyDescent="0.25">
      <c r="F27" t="str">
        <v>Modularity: 0,875</v>
      </c>
      <c r="G27" t="str">
        <v>Number of Communities: 35</v>
      </c>
      <c r="H27">
        <f t="shared" si="1"/>
        <v>0.875</v>
      </c>
      <c r="I27">
        <f t="shared" si="2"/>
        <v>35</v>
      </c>
    </row>
    <row r="28" spans="1:9" x14ac:dyDescent="0.25">
      <c r="F28" t="str">
        <v>Modularity: 0,878</v>
      </c>
      <c r="G28" t="str">
        <v>Number of Communities: 37</v>
      </c>
      <c r="H28">
        <f t="shared" si="1"/>
        <v>0.878</v>
      </c>
      <c r="I28">
        <f t="shared" si="2"/>
        <v>37</v>
      </c>
    </row>
    <row r="29" spans="1:9" x14ac:dyDescent="0.25">
      <c r="F29" t="str">
        <v>Modularity: 0,873</v>
      </c>
      <c r="G29" t="str">
        <v>Number of Communities: 36</v>
      </c>
      <c r="H29">
        <f t="shared" si="1"/>
        <v>0.873</v>
      </c>
      <c r="I29">
        <f t="shared" si="2"/>
        <v>36</v>
      </c>
    </row>
    <row r="30" spans="1:9" x14ac:dyDescent="0.25">
      <c r="F30" t="str">
        <v>Modularity: 0,876</v>
      </c>
      <c r="G30" t="str">
        <v>Number of Communities: 35</v>
      </c>
      <c r="H30">
        <f t="shared" si="1"/>
        <v>0.876</v>
      </c>
      <c r="I30">
        <f t="shared" si="2"/>
        <v>35</v>
      </c>
    </row>
    <row r="31" spans="1:9" x14ac:dyDescent="0.25">
      <c r="F31" t="str">
        <v>Modularity: 0,878</v>
      </c>
      <c r="G31" t="str">
        <v>Number of Communities: 37</v>
      </c>
      <c r="H31">
        <f t="shared" si="1"/>
        <v>0.878</v>
      </c>
      <c r="I31">
        <f t="shared" si="2"/>
        <v>37</v>
      </c>
    </row>
    <row r="32" spans="1:9" x14ac:dyDescent="0.25">
      <c r="F32" t="str">
        <v>Modularity: 0,874</v>
      </c>
      <c r="G32" t="str">
        <v>Number of Communities: 37</v>
      </c>
      <c r="H32">
        <f t="shared" si="1"/>
        <v>0.874</v>
      </c>
      <c r="I32">
        <f t="shared" si="2"/>
        <v>37</v>
      </c>
    </row>
    <row r="33" spans="6:9" x14ac:dyDescent="0.25">
      <c r="F33" t="str">
        <v>Modularity: 0,877</v>
      </c>
      <c r="G33" t="str">
        <v>Number of Communities: 36</v>
      </c>
      <c r="H33">
        <f t="shared" si="1"/>
        <v>0.877</v>
      </c>
      <c r="I33">
        <f t="shared" si="2"/>
        <v>36</v>
      </c>
    </row>
    <row r="34" spans="6:9" x14ac:dyDescent="0.25">
      <c r="F34" t="str">
        <v>Modularity: 0,872</v>
      </c>
      <c r="G34" t="str">
        <v>Number of Communities: 36</v>
      </c>
      <c r="H34">
        <f t="shared" si="1"/>
        <v>0.872</v>
      </c>
      <c r="I34">
        <f t="shared" si="2"/>
        <v>36</v>
      </c>
    </row>
    <row r="35" spans="6:9" x14ac:dyDescent="0.25">
      <c r="F35" t="str">
        <v>Modularity: 0,878</v>
      </c>
      <c r="G35" t="str">
        <v>Number of Communities: 36</v>
      </c>
      <c r="H35">
        <f t="shared" si="1"/>
        <v>0.878</v>
      </c>
      <c r="I35">
        <f t="shared" si="2"/>
        <v>36</v>
      </c>
    </row>
  </sheetData>
  <mergeCells count="5">
    <mergeCell ref="A1:B1"/>
    <mergeCell ref="C1:D1"/>
    <mergeCell ref="E1:F1"/>
    <mergeCell ref="G1:H1"/>
    <mergeCell ref="I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Comparison</vt:lpstr>
      <vt:lpstr>JCVI</vt:lpstr>
      <vt:lpstr>Pneumoniae</vt:lpstr>
      <vt:lpstr>Genitalium</vt:lpstr>
      <vt:lpstr>Aureus</vt:lpstr>
      <vt:lpstr>Minesweeper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Wannenburg</dc:creator>
  <cp:lastModifiedBy>Willem Wannenburg</cp:lastModifiedBy>
  <dcterms:created xsi:type="dcterms:W3CDTF">2023-10-31T10:27:11Z</dcterms:created>
  <dcterms:modified xsi:type="dcterms:W3CDTF">2023-11-01T08:30:53Z</dcterms:modified>
</cp:coreProperties>
</file>